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w data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표 및 그래프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3" fillId="0" borderId="0" pivotButton="0" quotePrefix="0" xfId="0"/>
    <xf numFmtId="0" fontId="2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그래프 1. 연도별 재배면적 변화</a:t>
            </a:r>
          </a:p>
        </rich>
      </tx>
    </title>
    <plotArea>
      <lineChart>
        <grouping val="standard"/>
        <ser>
          <idx val="0"/>
          <order val="0"/>
          <tx>
            <strRef>
              <f>'분석'!B4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'분석'!$A$5:$A$25</f>
            </numRef>
          </cat>
          <val>
            <numRef>
              <f>'분석'!$B$5:$B$25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연도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재배면적(ha)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그래프 2. 연도별 단수(10a당 생산량) 변화</a:t>
            </a:r>
          </a:p>
        </rich>
      </tx>
    </title>
    <plotArea>
      <lineChart>
        <grouping val="standard"/>
        <ser>
          <idx val="0"/>
          <order val="0"/>
          <tx>
            <strRef>
              <f>'분석'!C4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'분석'!$A$5:$A$25</f>
            </numRef>
          </cat>
          <val>
            <numRef>
              <f>'분석'!$C$5:$C$25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연도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단수(kg/10a)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그래프 3. 재배면적·단수·생산량 지수 변화</a:t>
            </a:r>
          </a:p>
        </rich>
      </tx>
    </title>
    <plotArea>
      <lineChart>
        <grouping val="standard"/>
        <ser>
          <idx val="0"/>
          <order val="0"/>
          <tx>
            <strRef>
              <f>'분석'!E4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'분석'!$A$5:$A$25</f>
            </numRef>
          </cat>
          <val>
            <numRef>
              <f>'분석'!$E$5:$E$25</f>
            </numRef>
          </val>
          <smooth val="0"/>
        </ser>
        <ser>
          <idx val="1"/>
          <order val="1"/>
          <tx>
            <strRef>
              <f>'분석'!F4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'분석'!$A$5:$A$25</f>
            </numRef>
          </cat>
          <val>
            <numRef>
              <f>'분석'!$F$5:$F$25</f>
            </numRef>
          </val>
          <smooth val="0"/>
        </ser>
        <ser>
          <idx val="2"/>
          <order val="2"/>
          <tx>
            <strRef>
              <f>'분석'!G4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4"/>
            <spPr>
              <a:ln xmlns:a="http://schemas.openxmlformats.org/drawingml/2006/main">
                <a:prstDash val="solid"/>
              </a:ln>
            </spPr>
          </marker>
          <cat>
            <numRef>
              <f>'분석'!$A$5:$A$25</f>
            </numRef>
          </cat>
          <val>
            <numRef>
              <f>'분석'!$G$5:$G$25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연도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지수(시작연도=100)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26</row>
      <rowOff>0</rowOff>
    </from>
    <ext cx="576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43</row>
      <rowOff>0</rowOff>
    </from>
    <ext cx="576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(KOSIS 「농작물생산조사」 원자료를 이 시트에 그대로 붙여 넣습니다)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3" customWidth="1" min="3" max="3"/>
    <col width="1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감자 재배면적·단수·생산량 변화 분석 (전국, 2005~2025년)</t>
        </is>
      </c>
    </row>
    <row r="2">
      <c r="A2" t="inlineStr">
        <is>
          <t>자료: 통계청 KOSIS 「농작물생산조사」 / 통계표명: (입력) / 다운로드일: (입력)</t>
        </is>
      </c>
    </row>
    <row r="4" ht="42" customHeight="1">
      <c r="A4" s="2" t="inlineStr">
        <is>
          <t>연도</t>
        </is>
      </c>
      <c r="B4" s="2" t="inlineStr">
        <is>
          <t>재배면적(ha)</t>
        </is>
      </c>
      <c r="C4" s="2" t="inlineStr">
        <is>
          <t>단수(kg/10a)</t>
        </is>
      </c>
      <c r="D4" s="2" t="inlineStr">
        <is>
          <t>총생산량(t)</t>
        </is>
      </c>
      <c r="E4" s="2" t="inlineStr">
        <is>
          <t>재배면적 지수
(시작연도=100)</t>
        </is>
      </c>
      <c r="F4" s="2" t="inlineStr">
        <is>
          <t>단수 지수
(시작연도=100)</t>
        </is>
      </c>
      <c r="G4" s="2" t="inlineStr">
        <is>
          <t>생산량 지수
(시작연도=100)</t>
        </is>
      </c>
      <c r="H4" s="2" t="inlineStr">
        <is>
          <t>전년 대비
생산량 변화율(%)</t>
        </is>
      </c>
      <c r="I4" s="2" t="inlineStr">
        <is>
          <t>전년 대비
재배면적 변화율(%)</t>
        </is>
      </c>
      <c r="J4" s="2" t="inlineStr">
        <is>
          <t>전년 대비
단수 변화율(%)</t>
        </is>
      </c>
    </row>
    <row r="5">
      <c r="A5" s="3" t="n">
        <v>2005</v>
      </c>
      <c r="B5" s="4" t="n"/>
      <c r="C5" s="4" t="n"/>
      <c r="D5" s="4" t="n"/>
      <c r="E5" s="5">
        <f>IF(B5="","",B5/B$5*100)</f>
        <v/>
      </c>
      <c r="F5" s="5">
        <f>IF(C5="","",C5/C$5*100)</f>
        <v/>
      </c>
      <c r="G5" s="5">
        <f>IF(D5="","",D5/D$5*100)</f>
        <v/>
      </c>
      <c r="H5" s="3" t="inlineStr">
        <is>
          <t>-</t>
        </is>
      </c>
      <c r="I5" s="3" t="inlineStr">
        <is>
          <t>-</t>
        </is>
      </c>
      <c r="J5" s="3" t="inlineStr">
        <is>
          <t>-</t>
        </is>
      </c>
    </row>
    <row r="6">
      <c r="A6" s="3" t="n">
        <v>2006</v>
      </c>
      <c r="B6" s="4" t="n"/>
      <c r="C6" s="4" t="n"/>
      <c r="D6" s="4" t="n"/>
      <c r="E6" s="5">
        <f>IF(B6="","",B6/B$5*100)</f>
        <v/>
      </c>
      <c r="F6" s="5">
        <f>IF(C6="","",C6/C$5*100)</f>
        <v/>
      </c>
      <c r="G6" s="5">
        <f>IF(D6="","",D6/D$5*100)</f>
        <v/>
      </c>
      <c r="H6" s="5">
        <f>IF(OR(D6="",D5=""),"",(D6-D5)/D5*100)</f>
        <v/>
      </c>
      <c r="I6" s="5">
        <f>IF(OR(B6="",B5=""),"",(B6-B5)/B5*100)</f>
        <v/>
      </c>
      <c r="J6" s="5">
        <f>IF(OR(C6="",C5=""),"",(C6-C5)/C5*100)</f>
        <v/>
      </c>
    </row>
    <row r="7">
      <c r="A7" s="3" t="n">
        <v>2007</v>
      </c>
      <c r="B7" s="4" t="n"/>
      <c r="C7" s="4" t="n"/>
      <c r="D7" s="4" t="n"/>
      <c r="E7" s="5">
        <f>IF(B7="","",B7/B$5*100)</f>
        <v/>
      </c>
      <c r="F7" s="5">
        <f>IF(C7="","",C7/C$5*100)</f>
        <v/>
      </c>
      <c r="G7" s="5">
        <f>IF(D7="","",D7/D$5*100)</f>
        <v/>
      </c>
      <c r="H7" s="5">
        <f>IF(OR(D7="",D6=""),"",(D7-D6)/D6*100)</f>
        <v/>
      </c>
      <c r="I7" s="5">
        <f>IF(OR(B7="",B6=""),"",(B7-B6)/B6*100)</f>
        <v/>
      </c>
      <c r="J7" s="5">
        <f>IF(OR(C7="",C6=""),"",(C7-C6)/C6*100)</f>
        <v/>
      </c>
    </row>
    <row r="8">
      <c r="A8" s="3" t="n">
        <v>2008</v>
      </c>
      <c r="B8" s="4" t="n"/>
      <c r="C8" s="4" t="n"/>
      <c r="D8" s="4" t="n"/>
      <c r="E8" s="5">
        <f>IF(B8="","",B8/B$5*100)</f>
        <v/>
      </c>
      <c r="F8" s="5">
        <f>IF(C8="","",C8/C$5*100)</f>
        <v/>
      </c>
      <c r="G8" s="5">
        <f>IF(D8="","",D8/D$5*100)</f>
        <v/>
      </c>
      <c r="H8" s="5">
        <f>IF(OR(D8="",D7=""),"",(D8-D7)/D7*100)</f>
        <v/>
      </c>
      <c r="I8" s="5">
        <f>IF(OR(B8="",B7=""),"",(B8-B7)/B7*100)</f>
        <v/>
      </c>
      <c r="J8" s="5">
        <f>IF(OR(C8="",C7=""),"",(C8-C7)/C7*100)</f>
        <v/>
      </c>
    </row>
    <row r="9">
      <c r="A9" s="3" t="n">
        <v>2009</v>
      </c>
      <c r="B9" s="4" t="n"/>
      <c r="C9" s="4" t="n"/>
      <c r="D9" s="4" t="n"/>
      <c r="E9" s="5">
        <f>IF(B9="","",B9/B$5*100)</f>
        <v/>
      </c>
      <c r="F9" s="5">
        <f>IF(C9="","",C9/C$5*100)</f>
        <v/>
      </c>
      <c r="G9" s="5">
        <f>IF(D9="","",D9/D$5*100)</f>
        <v/>
      </c>
      <c r="H9" s="5">
        <f>IF(OR(D9="",D8=""),"",(D9-D8)/D8*100)</f>
        <v/>
      </c>
      <c r="I9" s="5">
        <f>IF(OR(B9="",B8=""),"",(B9-B8)/B8*100)</f>
        <v/>
      </c>
      <c r="J9" s="5">
        <f>IF(OR(C9="",C8=""),"",(C9-C8)/C8*100)</f>
        <v/>
      </c>
    </row>
    <row r="10">
      <c r="A10" s="3" t="n">
        <v>2010</v>
      </c>
      <c r="B10" s="4" t="n"/>
      <c r="C10" s="4" t="n"/>
      <c r="D10" s="4" t="n"/>
      <c r="E10" s="5">
        <f>IF(B10="","",B10/B$5*100)</f>
        <v/>
      </c>
      <c r="F10" s="5">
        <f>IF(C10="","",C10/C$5*100)</f>
        <v/>
      </c>
      <c r="G10" s="5">
        <f>IF(D10="","",D10/D$5*100)</f>
        <v/>
      </c>
      <c r="H10" s="5">
        <f>IF(OR(D10="",D9=""),"",(D10-D9)/D9*100)</f>
        <v/>
      </c>
      <c r="I10" s="5">
        <f>IF(OR(B10="",B9=""),"",(B10-B9)/B9*100)</f>
        <v/>
      </c>
      <c r="J10" s="5">
        <f>IF(OR(C10="",C9=""),"",(C10-C9)/C9*100)</f>
        <v/>
      </c>
    </row>
    <row r="11">
      <c r="A11" s="3" t="n">
        <v>2011</v>
      </c>
      <c r="B11" s="4" t="n"/>
      <c r="C11" s="4" t="n"/>
      <c r="D11" s="4" t="n"/>
      <c r="E11" s="5">
        <f>IF(B11="","",B11/B$5*100)</f>
        <v/>
      </c>
      <c r="F11" s="5">
        <f>IF(C11="","",C11/C$5*100)</f>
        <v/>
      </c>
      <c r="G11" s="5">
        <f>IF(D11="","",D11/D$5*100)</f>
        <v/>
      </c>
      <c r="H11" s="5">
        <f>IF(OR(D11="",D10=""),"",(D11-D10)/D10*100)</f>
        <v/>
      </c>
      <c r="I11" s="5">
        <f>IF(OR(B11="",B10=""),"",(B11-B10)/B10*100)</f>
        <v/>
      </c>
      <c r="J11" s="5">
        <f>IF(OR(C11="",C10=""),"",(C11-C10)/C10*100)</f>
        <v/>
      </c>
    </row>
    <row r="12">
      <c r="A12" s="3" t="n">
        <v>2012</v>
      </c>
      <c r="B12" s="4" t="n"/>
      <c r="C12" s="4" t="n"/>
      <c r="D12" s="4" t="n"/>
      <c r="E12" s="5">
        <f>IF(B12="","",B12/B$5*100)</f>
        <v/>
      </c>
      <c r="F12" s="5">
        <f>IF(C12="","",C12/C$5*100)</f>
        <v/>
      </c>
      <c r="G12" s="5">
        <f>IF(D12="","",D12/D$5*100)</f>
        <v/>
      </c>
      <c r="H12" s="5">
        <f>IF(OR(D12="",D11=""),"",(D12-D11)/D11*100)</f>
        <v/>
      </c>
      <c r="I12" s="5">
        <f>IF(OR(B12="",B11=""),"",(B12-B11)/B11*100)</f>
        <v/>
      </c>
      <c r="J12" s="5">
        <f>IF(OR(C12="",C11=""),"",(C12-C11)/C11*100)</f>
        <v/>
      </c>
    </row>
    <row r="13">
      <c r="A13" s="3" t="n">
        <v>2013</v>
      </c>
      <c r="B13" s="4" t="n"/>
      <c r="C13" s="4" t="n"/>
      <c r="D13" s="4" t="n"/>
      <c r="E13" s="5">
        <f>IF(B13="","",B13/B$5*100)</f>
        <v/>
      </c>
      <c r="F13" s="5">
        <f>IF(C13="","",C13/C$5*100)</f>
        <v/>
      </c>
      <c r="G13" s="5">
        <f>IF(D13="","",D13/D$5*100)</f>
        <v/>
      </c>
      <c r="H13" s="5">
        <f>IF(OR(D13="",D12=""),"",(D13-D12)/D12*100)</f>
        <v/>
      </c>
      <c r="I13" s="5">
        <f>IF(OR(B13="",B12=""),"",(B13-B12)/B12*100)</f>
        <v/>
      </c>
      <c r="J13" s="5">
        <f>IF(OR(C13="",C12=""),"",(C13-C12)/C12*100)</f>
        <v/>
      </c>
    </row>
    <row r="14">
      <c r="A14" s="3" t="n">
        <v>2014</v>
      </c>
      <c r="B14" s="4" t="n"/>
      <c r="C14" s="4" t="n"/>
      <c r="D14" s="4" t="n"/>
      <c r="E14" s="5">
        <f>IF(B14="","",B14/B$5*100)</f>
        <v/>
      </c>
      <c r="F14" s="5">
        <f>IF(C14="","",C14/C$5*100)</f>
        <v/>
      </c>
      <c r="G14" s="5">
        <f>IF(D14="","",D14/D$5*100)</f>
        <v/>
      </c>
      <c r="H14" s="5">
        <f>IF(OR(D14="",D13=""),"",(D14-D13)/D13*100)</f>
        <v/>
      </c>
      <c r="I14" s="5">
        <f>IF(OR(B14="",B13=""),"",(B14-B13)/B13*100)</f>
        <v/>
      </c>
      <c r="J14" s="5">
        <f>IF(OR(C14="",C13=""),"",(C14-C13)/C13*100)</f>
        <v/>
      </c>
    </row>
    <row r="15">
      <c r="A15" s="3" t="n">
        <v>2015</v>
      </c>
      <c r="B15" s="4" t="n"/>
      <c r="C15" s="4" t="n"/>
      <c r="D15" s="4" t="n"/>
      <c r="E15" s="5">
        <f>IF(B15="","",B15/B$5*100)</f>
        <v/>
      </c>
      <c r="F15" s="5">
        <f>IF(C15="","",C15/C$5*100)</f>
        <v/>
      </c>
      <c r="G15" s="5">
        <f>IF(D15="","",D15/D$5*100)</f>
        <v/>
      </c>
      <c r="H15" s="5">
        <f>IF(OR(D15="",D14=""),"",(D15-D14)/D14*100)</f>
        <v/>
      </c>
      <c r="I15" s="5">
        <f>IF(OR(B15="",B14=""),"",(B15-B14)/B14*100)</f>
        <v/>
      </c>
      <c r="J15" s="5">
        <f>IF(OR(C15="",C14=""),"",(C15-C14)/C14*100)</f>
        <v/>
      </c>
    </row>
    <row r="16">
      <c r="A16" s="3" t="n">
        <v>2016</v>
      </c>
      <c r="B16" s="4" t="n"/>
      <c r="C16" s="4" t="n"/>
      <c r="D16" s="4" t="n"/>
      <c r="E16" s="5">
        <f>IF(B16="","",B16/B$5*100)</f>
        <v/>
      </c>
      <c r="F16" s="5">
        <f>IF(C16="","",C16/C$5*100)</f>
        <v/>
      </c>
      <c r="G16" s="5">
        <f>IF(D16="","",D16/D$5*100)</f>
        <v/>
      </c>
      <c r="H16" s="5">
        <f>IF(OR(D16="",D15=""),"",(D16-D15)/D15*100)</f>
        <v/>
      </c>
      <c r="I16" s="5">
        <f>IF(OR(B16="",B15=""),"",(B16-B15)/B15*100)</f>
        <v/>
      </c>
      <c r="J16" s="5">
        <f>IF(OR(C16="",C15=""),"",(C16-C15)/C15*100)</f>
        <v/>
      </c>
    </row>
    <row r="17">
      <c r="A17" s="3" t="n">
        <v>2017</v>
      </c>
      <c r="B17" s="4" t="n"/>
      <c r="C17" s="4" t="n"/>
      <c r="D17" s="4" t="n"/>
      <c r="E17" s="5">
        <f>IF(B17="","",B17/B$5*100)</f>
        <v/>
      </c>
      <c r="F17" s="5">
        <f>IF(C17="","",C17/C$5*100)</f>
        <v/>
      </c>
      <c r="G17" s="5">
        <f>IF(D17="","",D17/D$5*100)</f>
        <v/>
      </c>
      <c r="H17" s="5">
        <f>IF(OR(D17="",D16=""),"",(D17-D16)/D16*100)</f>
        <v/>
      </c>
      <c r="I17" s="5">
        <f>IF(OR(B17="",B16=""),"",(B17-B16)/B16*100)</f>
        <v/>
      </c>
      <c r="J17" s="5">
        <f>IF(OR(C17="",C16=""),"",(C17-C16)/C16*100)</f>
        <v/>
      </c>
    </row>
    <row r="18">
      <c r="A18" s="3" t="n">
        <v>2018</v>
      </c>
      <c r="B18" s="4" t="n"/>
      <c r="C18" s="4" t="n"/>
      <c r="D18" s="4" t="n"/>
      <c r="E18" s="5">
        <f>IF(B18="","",B18/B$5*100)</f>
        <v/>
      </c>
      <c r="F18" s="5">
        <f>IF(C18="","",C18/C$5*100)</f>
        <v/>
      </c>
      <c r="G18" s="5">
        <f>IF(D18="","",D18/D$5*100)</f>
        <v/>
      </c>
      <c r="H18" s="5">
        <f>IF(OR(D18="",D17=""),"",(D18-D17)/D17*100)</f>
        <v/>
      </c>
      <c r="I18" s="5">
        <f>IF(OR(B18="",B17=""),"",(B18-B17)/B17*100)</f>
        <v/>
      </c>
      <c r="J18" s="5">
        <f>IF(OR(C18="",C17=""),"",(C18-C17)/C17*100)</f>
        <v/>
      </c>
    </row>
    <row r="19">
      <c r="A19" s="3" t="n">
        <v>2019</v>
      </c>
      <c r="B19" s="4" t="n"/>
      <c r="C19" s="4" t="n"/>
      <c r="D19" s="4" t="n"/>
      <c r="E19" s="5">
        <f>IF(B19="","",B19/B$5*100)</f>
        <v/>
      </c>
      <c r="F19" s="5">
        <f>IF(C19="","",C19/C$5*100)</f>
        <v/>
      </c>
      <c r="G19" s="5">
        <f>IF(D19="","",D19/D$5*100)</f>
        <v/>
      </c>
      <c r="H19" s="5">
        <f>IF(OR(D19="",D18=""),"",(D19-D18)/D18*100)</f>
        <v/>
      </c>
      <c r="I19" s="5">
        <f>IF(OR(B19="",B18=""),"",(B19-B18)/B18*100)</f>
        <v/>
      </c>
      <c r="J19" s="5">
        <f>IF(OR(C19="",C18=""),"",(C19-C18)/C18*100)</f>
        <v/>
      </c>
    </row>
    <row r="20">
      <c r="A20" s="3" t="n">
        <v>2020</v>
      </c>
      <c r="B20" s="4" t="n"/>
      <c r="C20" s="4" t="n"/>
      <c r="D20" s="4" t="n"/>
      <c r="E20" s="5">
        <f>IF(B20="","",B20/B$5*100)</f>
        <v/>
      </c>
      <c r="F20" s="5">
        <f>IF(C20="","",C20/C$5*100)</f>
        <v/>
      </c>
      <c r="G20" s="5">
        <f>IF(D20="","",D20/D$5*100)</f>
        <v/>
      </c>
      <c r="H20" s="5">
        <f>IF(OR(D20="",D19=""),"",(D20-D19)/D19*100)</f>
        <v/>
      </c>
      <c r="I20" s="5">
        <f>IF(OR(B20="",B19=""),"",(B20-B19)/B19*100)</f>
        <v/>
      </c>
      <c r="J20" s="5">
        <f>IF(OR(C20="",C19=""),"",(C20-C19)/C19*100)</f>
        <v/>
      </c>
    </row>
    <row r="21">
      <c r="A21" s="3" t="n">
        <v>2021</v>
      </c>
      <c r="B21" s="4" t="n"/>
      <c r="C21" s="4" t="n"/>
      <c r="D21" s="4" t="n"/>
      <c r="E21" s="5">
        <f>IF(B21="","",B21/B$5*100)</f>
        <v/>
      </c>
      <c r="F21" s="5">
        <f>IF(C21="","",C21/C$5*100)</f>
        <v/>
      </c>
      <c r="G21" s="5">
        <f>IF(D21="","",D21/D$5*100)</f>
        <v/>
      </c>
      <c r="H21" s="5">
        <f>IF(OR(D21="",D20=""),"",(D21-D20)/D20*100)</f>
        <v/>
      </c>
      <c r="I21" s="5">
        <f>IF(OR(B21="",B20=""),"",(B21-B20)/B20*100)</f>
        <v/>
      </c>
      <c r="J21" s="5">
        <f>IF(OR(C21="",C20=""),"",(C21-C20)/C20*100)</f>
        <v/>
      </c>
    </row>
    <row r="22">
      <c r="A22" s="3" t="n">
        <v>2022</v>
      </c>
      <c r="B22" s="4" t="n"/>
      <c r="C22" s="4" t="n"/>
      <c r="D22" s="4" t="n"/>
      <c r="E22" s="5">
        <f>IF(B22="","",B22/B$5*100)</f>
        <v/>
      </c>
      <c r="F22" s="5">
        <f>IF(C22="","",C22/C$5*100)</f>
        <v/>
      </c>
      <c r="G22" s="5">
        <f>IF(D22="","",D22/D$5*100)</f>
        <v/>
      </c>
      <c r="H22" s="5">
        <f>IF(OR(D22="",D21=""),"",(D22-D21)/D21*100)</f>
        <v/>
      </c>
      <c r="I22" s="5">
        <f>IF(OR(B22="",B21=""),"",(B22-B21)/B21*100)</f>
        <v/>
      </c>
      <c r="J22" s="5">
        <f>IF(OR(C22="",C21=""),"",(C22-C21)/C21*100)</f>
        <v/>
      </c>
    </row>
    <row r="23">
      <c r="A23" s="3" t="n">
        <v>2023</v>
      </c>
      <c r="B23" s="4" t="n"/>
      <c r="C23" s="4" t="n"/>
      <c r="D23" s="4" t="n"/>
      <c r="E23" s="5">
        <f>IF(B23="","",B23/B$5*100)</f>
        <v/>
      </c>
      <c r="F23" s="5">
        <f>IF(C23="","",C23/C$5*100)</f>
        <v/>
      </c>
      <c r="G23" s="5">
        <f>IF(D23="","",D23/D$5*100)</f>
        <v/>
      </c>
      <c r="H23" s="5">
        <f>IF(OR(D23="",D22=""),"",(D23-D22)/D22*100)</f>
        <v/>
      </c>
      <c r="I23" s="5">
        <f>IF(OR(B23="",B22=""),"",(B23-B22)/B22*100)</f>
        <v/>
      </c>
      <c r="J23" s="5">
        <f>IF(OR(C23="",C22=""),"",(C23-C22)/C22*100)</f>
        <v/>
      </c>
    </row>
    <row r="24">
      <c r="A24" s="3" t="n">
        <v>2024</v>
      </c>
      <c r="B24" s="4" t="n"/>
      <c r="C24" s="4" t="n"/>
      <c r="D24" s="4" t="n"/>
      <c r="E24" s="5">
        <f>IF(B24="","",B24/B$5*100)</f>
        <v/>
      </c>
      <c r="F24" s="5">
        <f>IF(C24="","",C24/C$5*100)</f>
        <v/>
      </c>
      <c r="G24" s="5">
        <f>IF(D24="","",D24/D$5*100)</f>
        <v/>
      </c>
      <c r="H24" s="5">
        <f>IF(OR(D24="",D23=""),"",(D24-D23)/D23*100)</f>
        <v/>
      </c>
      <c r="I24" s="5">
        <f>IF(OR(B24="",B23=""),"",(B24-B23)/B23*100)</f>
        <v/>
      </c>
      <c r="J24" s="5">
        <f>IF(OR(C24="",C23=""),"",(C24-C23)/C23*100)</f>
        <v/>
      </c>
    </row>
    <row r="25">
      <c r="A25" s="3" t="n">
        <v>2025</v>
      </c>
      <c r="B25" s="4" t="n"/>
      <c r="C25" s="4" t="n"/>
      <c r="D25" s="4" t="n"/>
      <c r="E25" s="5">
        <f>IF(B25="","",B25/B$5*100)</f>
        <v/>
      </c>
      <c r="F25" s="5">
        <f>IF(C25="","",C25/C$5*100)</f>
        <v/>
      </c>
      <c r="G25" s="5">
        <f>IF(D25="","",D25/D$5*100)</f>
        <v/>
      </c>
      <c r="H25" s="5">
        <f>IF(OR(D25="",D24=""),"",(D25-D24)/D24*100)</f>
        <v/>
      </c>
      <c r="I25" s="5">
        <f>IF(OR(B25="",B24=""),"",(B25-B24)/B24*100)</f>
        <v/>
      </c>
      <c r="J25" s="5">
        <f>IF(OR(C25="",C24=""),"",(C25-C24)/C24*100)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0" customWidth="1" min="4" max="4"/>
    <col width="14" customWidth="1" min="5" max="5"/>
    <col width="16" customWidth="1" min="6" max="6"/>
  </cols>
  <sheetData>
    <row r="1">
      <c r="A1" s="6" t="inlineStr">
        <is>
          <t>표 1. 시작연도 대비 전체 변화율</t>
        </is>
      </c>
    </row>
    <row r="3">
      <c r="A3" s="7" t="inlineStr">
        <is>
          <t>구분</t>
        </is>
      </c>
      <c r="B3" s="7" t="inlineStr">
        <is>
          <t>시작연도</t>
        </is>
      </c>
      <c r="C3" s="7" t="inlineStr">
        <is>
          <t>시작연도 값</t>
        </is>
      </c>
      <c r="D3" s="7" t="inlineStr">
        <is>
          <t>최종연도</t>
        </is>
      </c>
      <c r="E3" s="7" t="inlineStr">
        <is>
          <t>최종연도 값</t>
        </is>
      </c>
      <c r="F3" s="7" t="inlineStr">
        <is>
          <t>전체 변화율(%)</t>
        </is>
      </c>
    </row>
    <row r="4">
      <c r="A4" s="3" t="inlineStr">
        <is>
          <t>재배면적(ha)</t>
        </is>
      </c>
      <c r="B4" s="3">
        <f>분석!A5</f>
        <v/>
      </c>
      <c r="C4" s="4">
        <f>분석!B5</f>
        <v/>
      </c>
      <c r="D4" s="3">
        <f>INDEX(분석!A5:A25,COUNT(분석!B5:B25))</f>
        <v/>
      </c>
      <c r="E4" s="4">
        <f>INDEX(분석!B5:B25,COUNT(분석!B5:B25))</f>
        <v/>
      </c>
      <c r="F4" s="5">
        <f>IF(C4="","",(E4-C4)/C4*100)</f>
        <v/>
      </c>
    </row>
    <row r="5">
      <c r="A5" s="3" t="inlineStr">
        <is>
          <t>단수(kg/10a)</t>
        </is>
      </c>
      <c r="B5" s="3">
        <f>분석!A5</f>
        <v/>
      </c>
      <c r="C5" s="4">
        <f>분석!C5</f>
        <v/>
      </c>
      <c r="D5" s="3">
        <f>INDEX(분석!A5:A25,COUNT(분석!C5:C25))</f>
        <v/>
      </c>
      <c r="E5" s="4">
        <f>INDEX(분석!C5:C25,COUNT(분석!C5:C25))</f>
        <v/>
      </c>
      <c r="F5" s="5">
        <f>IF(C5="","",(E5-C5)/C5*100)</f>
        <v/>
      </c>
    </row>
    <row r="6">
      <c r="A6" s="3" t="inlineStr">
        <is>
          <t>총생산량(t)</t>
        </is>
      </c>
      <c r="B6" s="3">
        <f>분석!A5</f>
        <v/>
      </c>
      <c r="C6" s="4">
        <f>분석!D5</f>
        <v/>
      </c>
      <c r="D6" s="3">
        <f>INDEX(분석!A5:A25,COUNT(분석!D5:D25))</f>
        <v/>
      </c>
      <c r="E6" s="4">
        <f>INDEX(분석!D5:D25,COUNT(분석!D5:D25))</f>
        <v/>
      </c>
      <c r="F6" s="5">
        <f>IF(C6="","",(E6-C6)/C6*100)</f>
        <v/>
      </c>
    </row>
    <row r="8">
      <c r="A8" t="inlineStr">
        <is>
          <t>※ 전체 변화율(%) = (최종연도 값 − 시작연도 값) ÷ 시작연도 값 × 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2026-10-10T13:52:28Z</dcterms:created>
  <dcterms:modified xmlns:dcterms="http://purl.org/dc/terms/" xmlns:xsi="http://www.w3.org/2001/XMLSchema-instance" xsi:type="dcterms:W3CDTF">2026-10-10T13:52:28Z</dcterms:modified>
</cp:coreProperties>
</file>