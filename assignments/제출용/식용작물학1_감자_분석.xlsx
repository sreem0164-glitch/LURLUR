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표 및 그래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&quot;년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165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그래프 1. 연도별 재배면적 변화(ha)</a:t>
            </a:r>
          </a:p>
        </rich>
      </tx>
    </title>
    <plotArea>
      <lineChart>
        <grouping val="standard"/>
        <ser>
          <idx val="0"/>
          <order val="0"/>
          <tx>
            <strRef>
              <f>'분석'!B4</f>
              <strCache>
                <ptCount val="1"/>
                <pt idx="0">
                  <v>재배면적(ha)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  <numCache>
                <formatCode>General</formatCode>
                <ptCount val="20"/>
                <pt idx="0">
                  <v>2005</v>
                </pt>
                <pt idx="1">
                  <v>2006</v>
                </pt>
                <pt idx="2">
                  <v>2007</v>
                </pt>
                <pt idx="3">
                  <v>2008</v>
                </pt>
                <pt idx="4">
                  <v>2009</v>
                </pt>
                <pt idx="5">
                  <v>2010</v>
                </pt>
                <pt idx="6">
                  <v>2011</v>
                </pt>
                <pt idx="7">
                  <v>2012</v>
                </pt>
                <pt idx="8">
                  <v>2013</v>
                </pt>
                <pt idx="9">
                  <v>2014</v>
                </pt>
                <pt idx="10">
                  <v>2015</v>
                </pt>
                <pt idx="11">
                  <v>2016</v>
                </pt>
                <pt idx="12">
                  <v>2017</v>
                </pt>
                <pt idx="13">
                  <v>2018</v>
                </pt>
                <pt idx="14">
                  <v>2019</v>
                </pt>
                <pt idx="15">
                  <v>2020</v>
                </pt>
                <pt idx="16">
                  <v>2021</v>
                </pt>
                <pt idx="17">
                  <v>2022</v>
                </pt>
                <pt idx="18">
                  <v>2023</v>
                </pt>
                <pt idx="19">
                  <v>2024</v>
                </pt>
              </numCache>
            </numRef>
          </cat>
          <val>
            <numRef>
              <f>'분석'!$B$5:$B$24</f>
              <numCache>
                <formatCode>General</formatCode>
                <ptCount val="20"/>
                <pt idx="0">
                  <v>32728</v>
                </pt>
                <pt idx="1">
                  <v>23957</v>
                </pt>
                <pt idx="2">
                  <v>20421</v>
                </pt>
                <pt idx="3">
                  <v>20540</v>
                </pt>
                <pt idx="4">
                  <v>21396</v>
                </pt>
                <pt idx="5">
                  <v>24913</v>
                </pt>
                <pt idx="6">
                  <v>26804</v>
                </pt>
                <pt idx="7">
                  <v>24930</v>
                </pt>
                <pt idx="8">
                  <v>27430</v>
                </pt>
                <pt idx="9">
                  <v>21472</v>
                </pt>
                <pt idx="10">
                  <v>20234</v>
                </pt>
                <pt idx="11">
                  <v>22000</v>
                </pt>
                <pt idx="12">
                  <v>20974</v>
                </pt>
                <pt idx="13">
                  <v>23402</v>
                </pt>
                <pt idx="14">
                  <v>26829</v>
                </pt>
                <pt idx="15">
                  <v>23599</v>
                </pt>
                <pt idx="16">
                  <v>21745</v>
                </pt>
                <pt idx="17">
                  <v>20088</v>
                </pt>
                <pt idx="18">
                  <v>22525</v>
                </pt>
                <pt idx="19">
                  <v>23969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재배면적(ha)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그래프 2. 연도별 단수(10a당 생산량) 변화(kg/10a)</a:t>
            </a:r>
          </a:p>
        </rich>
      </tx>
    </title>
    <plotArea>
      <lineChart>
        <grouping val="standard"/>
        <ser>
          <idx val="0"/>
          <order val="0"/>
          <tx>
            <strRef>
              <f>'분석'!C4</f>
              <strCache>
                <ptCount val="1"/>
                <pt idx="0">
                  <v>단수(kg/10a)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  <numCache>
                <formatCode>General</formatCode>
                <ptCount val="20"/>
                <pt idx="0">
                  <v>2005</v>
                </pt>
                <pt idx="1">
                  <v>2006</v>
                </pt>
                <pt idx="2">
                  <v>2007</v>
                </pt>
                <pt idx="3">
                  <v>2008</v>
                </pt>
                <pt idx="4">
                  <v>2009</v>
                </pt>
                <pt idx="5">
                  <v>2010</v>
                </pt>
                <pt idx="6">
                  <v>2011</v>
                </pt>
                <pt idx="7">
                  <v>2012</v>
                </pt>
                <pt idx="8">
                  <v>2013</v>
                </pt>
                <pt idx="9">
                  <v>2014</v>
                </pt>
                <pt idx="10">
                  <v>2015</v>
                </pt>
                <pt idx="11">
                  <v>2016</v>
                </pt>
                <pt idx="12">
                  <v>2017</v>
                </pt>
                <pt idx="13">
                  <v>2018</v>
                </pt>
                <pt idx="14">
                  <v>2019</v>
                </pt>
                <pt idx="15">
                  <v>2020</v>
                </pt>
                <pt idx="16">
                  <v>2021</v>
                </pt>
                <pt idx="17">
                  <v>2022</v>
                </pt>
                <pt idx="18">
                  <v>2023</v>
                </pt>
                <pt idx="19">
                  <v>2024</v>
                </pt>
              </numCache>
            </numRef>
          </cat>
          <val>
            <numRef>
              <f>'분석'!$C$5:$C$24</f>
              <numCache>
                <formatCode>General</formatCode>
                <ptCount val="20"/>
                <pt idx="0">
                  <v>2732</v>
                </pt>
                <pt idx="1">
                  <v>2634</v>
                </pt>
                <pt idx="2">
                  <v>2813</v>
                </pt>
                <pt idx="3">
                  <v>2943</v>
                </pt>
                <pt idx="4">
                  <v>2762</v>
                </pt>
                <pt idx="5">
                  <v>2475</v>
                </pt>
                <pt idx="6">
                  <v>2321</v>
                </pt>
                <pt idx="7">
                  <v>2437</v>
                </pt>
                <pt idx="8">
                  <v>2652</v>
                </pt>
                <pt idx="9">
                  <v>2750</v>
                </pt>
                <pt idx="10">
                  <v>2658</v>
                </pt>
                <pt idx="11">
                  <v>2526</v>
                </pt>
                <pt idx="12">
                  <v>2225</v>
                </pt>
                <pt idx="13">
                  <v>2342</v>
                </pt>
                <pt idx="14">
                  <v>2573</v>
                </pt>
                <pt idx="15">
                  <v>2344</v>
                </pt>
                <pt idx="16">
                  <v>2552</v>
                </pt>
                <pt idx="17">
                  <v>2392</v>
                </pt>
                <pt idx="18">
                  <v>2443</v>
                </pt>
                <pt idx="19">
                  <v>2474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단수(kg/10a)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그래프 3. 재배면적·단수·생산량 지수 변화(2005=100)</a:t>
            </a:r>
          </a:p>
        </rich>
      </tx>
    </title>
    <plotArea>
      <lineChart>
        <grouping val="standard"/>
        <ser>
          <idx val="0"/>
          <order val="0"/>
          <tx>
            <strRef>
              <f>'분석'!E4</f>
              <strCache>
                <ptCount val="1"/>
                <pt idx="0">
                  <v>재배면적 지수
(2005=100)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  <numCache>
                <formatCode>General</formatCode>
                <ptCount val="20"/>
                <pt idx="0">
                  <v>2005</v>
                </pt>
                <pt idx="1">
                  <v>2006</v>
                </pt>
                <pt idx="2">
                  <v>2007</v>
                </pt>
                <pt idx="3">
                  <v>2008</v>
                </pt>
                <pt idx="4">
                  <v>2009</v>
                </pt>
                <pt idx="5">
                  <v>2010</v>
                </pt>
                <pt idx="6">
                  <v>2011</v>
                </pt>
                <pt idx="7">
                  <v>2012</v>
                </pt>
                <pt idx="8">
                  <v>2013</v>
                </pt>
                <pt idx="9">
                  <v>2014</v>
                </pt>
                <pt idx="10">
                  <v>2015</v>
                </pt>
                <pt idx="11">
                  <v>2016</v>
                </pt>
                <pt idx="12">
                  <v>2017</v>
                </pt>
                <pt idx="13">
                  <v>2018</v>
                </pt>
                <pt idx="14">
                  <v>2019</v>
                </pt>
                <pt idx="15">
                  <v>2020</v>
                </pt>
                <pt idx="16">
                  <v>2021</v>
                </pt>
                <pt idx="17">
                  <v>2022</v>
                </pt>
                <pt idx="18">
                  <v>2023</v>
                </pt>
                <pt idx="19">
                  <v>2024</v>
                </pt>
              </numCache>
            </numRef>
          </cat>
          <val>
            <numRef>
              <f>'분석'!$E$5:$E$24</f>
              <numCache>
                <formatCode>General</formatCode>
                <ptCount val="20"/>
                <pt idx="0">
                  <v>100</v>
                </pt>
                <pt idx="1">
                  <v>73.2003177707162</v>
                </pt>
                <pt idx="2">
                  <v>62.3961134197018</v>
                </pt>
                <pt idx="3">
                  <v>62.7597164507455</v>
                </pt>
                <pt idx="4">
                  <v>65.3752138841359</v>
                </pt>
                <pt idx="5">
                  <v>76.1213639696896</v>
                </pt>
                <pt idx="6">
                  <v>81.8992911268638</v>
                </pt>
                <pt idx="7">
                  <v>76.1733072598387</v>
                </pt>
                <pt idx="8">
                  <v>83.8120263994133</v>
                </pt>
                <pt idx="9">
                  <v>65.607430945979</v>
                </pt>
                <pt idx="10">
                  <v>61.8247372280616</v>
                </pt>
                <pt idx="11">
                  <v>67.2207284282572</v>
                </pt>
                <pt idx="12">
                  <v>64.0857980933757</v>
                </pt>
                <pt idx="13">
                  <v>71.5045221217306</v>
                </pt>
                <pt idx="14">
                  <v>81.9756783182596</v>
                </pt>
                <pt idx="15">
                  <v>72.1064531899291</v>
                </pt>
                <pt idx="16">
                  <v>66.4415790760205</v>
                </pt>
                <pt idx="17">
                  <v>61.3786360303104</v>
                </pt>
                <pt idx="18">
                  <v>68.8248594475678</v>
                </pt>
                <pt idx="19">
                  <v>73.2369836225862</v>
                </pt>
              </numCache>
            </numRef>
          </val>
          <smooth val="0"/>
        </ser>
        <ser>
          <idx val="1"/>
          <order val="1"/>
          <tx>
            <strRef>
              <f>'분석'!F4</f>
              <strCache>
                <ptCount val="1"/>
                <pt idx="0">
                  <v>단수 지수
(2005=100)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  <numCache>
                <formatCode>General</formatCode>
                <ptCount val="20"/>
                <pt idx="0">
                  <v>2005</v>
                </pt>
                <pt idx="1">
                  <v>2006</v>
                </pt>
                <pt idx="2">
                  <v>2007</v>
                </pt>
                <pt idx="3">
                  <v>2008</v>
                </pt>
                <pt idx="4">
                  <v>2009</v>
                </pt>
                <pt idx="5">
                  <v>2010</v>
                </pt>
                <pt idx="6">
                  <v>2011</v>
                </pt>
                <pt idx="7">
                  <v>2012</v>
                </pt>
                <pt idx="8">
                  <v>2013</v>
                </pt>
                <pt idx="9">
                  <v>2014</v>
                </pt>
                <pt idx="10">
                  <v>2015</v>
                </pt>
                <pt idx="11">
                  <v>2016</v>
                </pt>
                <pt idx="12">
                  <v>2017</v>
                </pt>
                <pt idx="13">
                  <v>2018</v>
                </pt>
                <pt idx="14">
                  <v>2019</v>
                </pt>
                <pt idx="15">
                  <v>2020</v>
                </pt>
                <pt idx="16">
                  <v>2021</v>
                </pt>
                <pt idx="17">
                  <v>2022</v>
                </pt>
                <pt idx="18">
                  <v>2023</v>
                </pt>
                <pt idx="19">
                  <v>2024</v>
                </pt>
              </numCache>
            </numRef>
          </cat>
          <val>
            <numRef>
              <f>'분석'!$F$5:$F$24</f>
              <numCache>
                <formatCode>General</formatCode>
                <ptCount val="20"/>
                <pt idx="0">
                  <v>100</v>
                </pt>
                <pt idx="1">
                  <v>96.4128843338214</v>
                </pt>
                <pt idx="2">
                  <v>102.96486090776</v>
                </pt>
                <pt idx="3">
                  <v>107.723279648609</v>
                </pt>
                <pt idx="4">
                  <v>101.098096632504</v>
                </pt>
                <pt idx="5">
                  <v>90.592972181552</v>
                </pt>
                <pt idx="6">
                  <v>84.9560761346999</v>
                </pt>
                <pt idx="7">
                  <v>89.2020497803807</v>
                </pt>
                <pt idx="8">
                  <v>97.0717423133236</v>
                </pt>
                <pt idx="9">
                  <v>100.658857979502</v>
                </pt>
                <pt idx="10">
                  <v>97.2913616398243</v>
                </pt>
                <pt idx="11">
                  <v>92.4597364568082</v>
                </pt>
                <pt idx="12">
                  <v>81.4421669106881</v>
                </pt>
                <pt idx="13">
                  <v>85.7247437774524</v>
                </pt>
                <pt idx="14">
                  <v>94.1800878477306</v>
                </pt>
                <pt idx="15">
                  <v>85.7979502196193</v>
                </pt>
                <pt idx="16">
                  <v>93.411420204978</v>
                </pt>
                <pt idx="17">
                  <v>87.5549048316252</v>
                </pt>
                <pt idx="18">
                  <v>89.4216691068814</v>
                </pt>
                <pt idx="19">
                  <v>90.5563689604685</v>
                </pt>
              </numCache>
            </numRef>
          </val>
          <smooth val="0"/>
        </ser>
        <ser>
          <idx val="2"/>
          <order val="2"/>
          <tx>
            <strRef>
              <f>'분석'!G4</f>
              <strCache>
                <ptCount val="1"/>
                <pt idx="0">
                  <v>생산량 지수
(2005=100)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  <numCache>
                <formatCode>General</formatCode>
                <ptCount val="20"/>
                <pt idx="0">
                  <v>2005</v>
                </pt>
                <pt idx="1">
                  <v>2006</v>
                </pt>
                <pt idx="2">
                  <v>2007</v>
                </pt>
                <pt idx="3">
                  <v>2008</v>
                </pt>
                <pt idx="4">
                  <v>2009</v>
                </pt>
                <pt idx="5">
                  <v>2010</v>
                </pt>
                <pt idx="6">
                  <v>2011</v>
                </pt>
                <pt idx="7">
                  <v>2012</v>
                </pt>
                <pt idx="8">
                  <v>2013</v>
                </pt>
                <pt idx="9">
                  <v>2014</v>
                </pt>
                <pt idx="10">
                  <v>2015</v>
                </pt>
                <pt idx="11">
                  <v>2016</v>
                </pt>
                <pt idx="12">
                  <v>2017</v>
                </pt>
                <pt idx="13">
                  <v>2018</v>
                </pt>
                <pt idx="14">
                  <v>2019</v>
                </pt>
                <pt idx="15">
                  <v>2020</v>
                </pt>
                <pt idx="16">
                  <v>2021</v>
                </pt>
                <pt idx="17">
                  <v>2022</v>
                </pt>
                <pt idx="18">
                  <v>2023</v>
                </pt>
                <pt idx="19">
                  <v>2024</v>
                </pt>
              </numCache>
            </numRef>
          </cat>
          <val>
            <numRef>
              <f>'분석'!$G$5:$G$24</f>
              <numCache>
                <formatCode>General</formatCode>
                <ptCount val="20"/>
                <pt idx="0">
                  <v>100</v>
                </pt>
                <pt idx="1">
                  <v>70.574302600605</v>
                </pt>
                <pt idx="2">
                  <v>64.2346639231057</v>
                </pt>
                <pt idx="3">
                  <v>67.6114804605157</v>
                </pt>
                <pt idx="4">
                  <v>66.0974150511901</v>
                </pt>
                <pt idx="5">
                  <v>68.9663000508826</v>
                </pt>
                <pt idx="6">
                  <v>69.5808055109789</v>
                </pt>
                <pt idx="7">
                  <v>67.9404841117628</v>
                </pt>
                <pt idx="8">
                  <v>81.3493399238438</v>
                </pt>
                <pt idx="9">
                  <v>66.0391516581583</v>
                </pt>
                <pt idx="10">
                  <v>60.1352023842141</v>
                </pt>
                <pt idx="11">
                  <v>62.1405366718295</v>
                </pt>
                <pt idx="12">
                  <v>52.1971785308902</v>
                </pt>
                <pt idx="13">
                  <v>61.2900700614505</v>
                </pt>
                <pt idx="14">
                  <v>77.2095077805673</v>
                </pt>
                <pt idx="15">
                  <v>61.8636457675168</v>
                </pt>
                <pt idx="16">
                  <v>62.0536448169624</v>
                </pt>
                <pt idx="17">
                  <v>53.7455757284322</v>
                </pt>
                <pt idx="18">
                  <v>61.5392271433604</v>
                </pt>
                <pt idx="19">
                  <v>66.3170490318324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지수(2005=100)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16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32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시도별(1)</t>
        </is>
      </c>
      <c r="B1" t="inlineStr">
        <is>
          <t>시도별(2)</t>
        </is>
      </c>
      <c r="C1" t="n">
        <v>2005</v>
      </c>
      <c r="D1" t="n">
        <v>2005</v>
      </c>
      <c r="E1" t="n">
        <v>2005</v>
      </c>
      <c r="F1" t="n">
        <v>2005</v>
      </c>
      <c r="G1" t="n">
        <v>2005</v>
      </c>
      <c r="H1" t="n">
        <v>2005</v>
      </c>
      <c r="I1" t="n">
        <v>2005</v>
      </c>
      <c r="J1" t="n">
        <v>2005</v>
      </c>
      <c r="K1" t="n">
        <v>2005</v>
      </c>
      <c r="L1" t="n">
        <v>2005</v>
      </c>
      <c r="M1" t="n">
        <v>2005</v>
      </c>
      <c r="N1" t="n">
        <v>2005</v>
      </c>
      <c r="O1" t="n">
        <v>2005</v>
      </c>
      <c r="P1" t="n">
        <v>2005</v>
      </c>
      <c r="Q1" t="n">
        <v>2005</v>
      </c>
      <c r="R1" t="n">
        <v>2005</v>
      </c>
      <c r="S1" t="n">
        <v>2005</v>
      </c>
      <c r="T1" t="n">
        <v>2006</v>
      </c>
      <c r="U1" t="n">
        <v>2006</v>
      </c>
      <c r="V1" t="n">
        <v>2006</v>
      </c>
      <c r="W1" t="n">
        <v>2006</v>
      </c>
      <c r="X1" t="n">
        <v>2006</v>
      </c>
      <c r="Y1" t="n">
        <v>2006</v>
      </c>
      <c r="Z1" t="n">
        <v>2006</v>
      </c>
      <c r="AA1" t="n">
        <v>2006</v>
      </c>
      <c r="AB1" t="n">
        <v>2006</v>
      </c>
      <c r="AC1" t="n">
        <v>2006</v>
      </c>
      <c r="AD1" t="n">
        <v>2006</v>
      </c>
      <c r="AE1" t="n">
        <v>2006</v>
      </c>
      <c r="AF1" t="n">
        <v>2006</v>
      </c>
      <c r="AG1" t="n">
        <v>2006</v>
      </c>
      <c r="AH1" t="n">
        <v>2006</v>
      </c>
      <c r="AI1" t="n">
        <v>2006</v>
      </c>
      <c r="AJ1" t="n">
        <v>2006</v>
      </c>
      <c r="AK1" t="n">
        <v>2007</v>
      </c>
      <c r="AL1" t="n">
        <v>2007</v>
      </c>
      <c r="AM1" t="n">
        <v>2007</v>
      </c>
      <c r="AN1" t="n">
        <v>2007</v>
      </c>
      <c r="AO1" t="n">
        <v>2007</v>
      </c>
      <c r="AP1" t="n">
        <v>2007</v>
      </c>
      <c r="AQ1" t="n">
        <v>2007</v>
      </c>
      <c r="AR1" t="n">
        <v>2007</v>
      </c>
      <c r="AS1" t="n">
        <v>2007</v>
      </c>
      <c r="AT1" t="n">
        <v>2007</v>
      </c>
      <c r="AU1" t="n">
        <v>2007</v>
      </c>
      <c r="AV1" t="n">
        <v>2007</v>
      </c>
      <c r="AW1" t="n">
        <v>2007</v>
      </c>
      <c r="AX1" t="n">
        <v>2007</v>
      </c>
      <c r="AY1" t="n">
        <v>2007</v>
      </c>
      <c r="AZ1" t="n">
        <v>2007</v>
      </c>
      <c r="BA1" t="n">
        <v>2007</v>
      </c>
      <c r="BB1" t="n">
        <v>2008</v>
      </c>
      <c r="BC1" t="n">
        <v>2008</v>
      </c>
      <c r="BD1" t="n">
        <v>2008</v>
      </c>
      <c r="BE1" t="n">
        <v>2008</v>
      </c>
      <c r="BF1" t="n">
        <v>2008</v>
      </c>
      <c r="BG1" t="n">
        <v>2008</v>
      </c>
      <c r="BH1" t="n">
        <v>2008</v>
      </c>
      <c r="BI1" t="n">
        <v>2008</v>
      </c>
      <c r="BJ1" t="n">
        <v>2008</v>
      </c>
      <c r="BK1" t="n">
        <v>2008</v>
      </c>
      <c r="BL1" t="n">
        <v>2008</v>
      </c>
      <c r="BM1" t="n">
        <v>2008</v>
      </c>
      <c r="BN1" t="n">
        <v>2008</v>
      </c>
      <c r="BO1" t="n">
        <v>2008</v>
      </c>
      <c r="BP1" t="n">
        <v>2008</v>
      </c>
      <c r="BQ1" t="n">
        <v>2008</v>
      </c>
      <c r="BR1" t="n">
        <v>2008</v>
      </c>
      <c r="BS1" t="n">
        <v>2009</v>
      </c>
      <c r="BT1" t="n">
        <v>2009</v>
      </c>
      <c r="BU1" t="n">
        <v>2009</v>
      </c>
      <c r="BV1" t="n">
        <v>2009</v>
      </c>
      <c r="BW1" t="n">
        <v>2009</v>
      </c>
      <c r="BX1" t="n">
        <v>2009</v>
      </c>
      <c r="BY1" t="n">
        <v>2009</v>
      </c>
      <c r="BZ1" t="n">
        <v>2009</v>
      </c>
      <c r="CA1" t="n">
        <v>2009</v>
      </c>
      <c r="CB1" t="n">
        <v>2009</v>
      </c>
      <c r="CC1" t="n">
        <v>2009</v>
      </c>
      <c r="CD1" t="n">
        <v>2009</v>
      </c>
      <c r="CE1" t="n">
        <v>2009</v>
      </c>
      <c r="CF1" t="n">
        <v>2009</v>
      </c>
      <c r="CG1" t="n">
        <v>2009</v>
      </c>
      <c r="CH1" t="n">
        <v>2009</v>
      </c>
      <c r="CI1" t="n">
        <v>2009</v>
      </c>
      <c r="CJ1" t="n">
        <v>2010</v>
      </c>
      <c r="CK1" t="n">
        <v>2010</v>
      </c>
      <c r="CL1" t="n">
        <v>2010</v>
      </c>
      <c r="CM1" t="n">
        <v>2010</v>
      </c>
      <c r="CN1" t="n">
        <v>2010</v>
      </c>
      <c r="CO1" t="n">
        <v>2010</v>
      </c>
      <c r="CP1" t="n">
        <v>2010</v>
      </c>
      <c r="CQ1" t="n">
        <v>2010</v>
      </c>
      <c r="CR1" t="n">
        <v>2010</v>
      </c>
      <c r="CS1" t="n">
        <v>2010</v>
      </c>
      <c r="CT1" t="n">
        <v>2010</v>
      </c>
      <c r="CU1" t="n">
        <v>2010</v>
      </c>
      <c r="CV1" t="n">
        <v>2010</v>
      </c>
      <c r="CW1" t="n">
        <v>2010</v>
      </c>
      <c r="CX1" t="n">
        <v>2010</v>
      </c>
      <c r="CY1" t="n">
        <v>2010</v>
      </c>
      <c r="CZ1" t="n">
        <v>2010</v>
      </c>
      <c r="DA1" t="n">
        <v>2011</v>
      </c>
      <c r="DB1" t="n">
        <v>2011</v>
      </c>
      <c r="DC1" t="n">
        <v>2011</v>
      </c>
      <c r="DD1" t="n">
        <v>2011</v>
      </c>
      <c r="DE1" t="n">
        <v>2011</v>
      </c>
      <c r="DF1" t="n">
        <v>2011</v>
      </c>
      <c r="DG1" t="n">
        <v>2011</v>
      </c>
      <c r="DH1" t="n">
        <v>2011</v>
      </c>
      <c r="DI1" t="n">
        <v>2011</v>
      </c>
      <c r="DJ1" t="n">
        <v>2011</v>
      </c>
      <c r="DK1" t="n">
        <v>2011</v>
      </c>
      <c r="DL1" t="n">
        <v>2011</v>
      </c>
      <c r="DM1" t="n">
        <v>2011</v>
      </c>
      <c r="DN1" t="n">
        <v>2011</v>
      </c>
      <c r="DO1" t="n">
        <v>2011</v>
      </c>
      <c r="DP1" t="n">
        <v>2011</v>
      </c>
      <c r="DQ1" t="n">
        <v>2011</v>
      </c>
      <c r="DR1" t="n">
        <v>2012</v>
      </c>
      <c r="DS1" t="n">
        <v>2012</v>
      </c>
      <c r="DT1" t="n">
        <v>2012</v>
      </c>
      <c r="DU1" t="n">
        <v>2012</v>
      </c>
      <c r="DV1" t="n">
        <v>2012</v>
      </c>
      <c r="DW1" t="n">
        <v>2012</v>
      </c>
      <c r="DX1" t="n">
        <v>2012</v>
      </c>
      <c r="DY1" t="n">
        <v>2012</v>
      </c>
      <c r="DZ1" t="n">
        <v>2012</v>
      </c>
      <c r="EA1" t="n">
        <v>2012</v>
      </c>
      <c r="EB1" t="n">
        <v>2012</v>
      </c>
      <c r="EC1" t="n">
        <v>2012</v>
      </c>
      <c r="ED1" t="n">
        <v>2012</v>
      </c>
      <c r="EE1" t="n">
        <v>2012</v>
      </c>
      <c r="EF1" t="n">
        <v>2012</v>
      </c>
      <c r="EG1" t="n">
        <v>2012</v>
      </c>
      <c r="EH1" t="n">
        <v>2012</v>
      </c>
      <c r="EI1" t="n">
        <v>2013</v>
      </c>
      <c r="EJ1" t="n">
        <v>2013</v>
      </c>
      <c r="EK1" t="n">
        <v>2013</v>
      </c>
      <c r="EL1" t="n">
        <v>2013</v>
      </c>
      <c r="EM1" t="n">
        <v>2013</v>
      </c>
      <c r="EN1" t="n">
        <v>2013</v>
      </c>
      <c r="EO1" t="n">
        <v>2013</v>
      </c>
      <c r="EP1" t="n">
        <v>2013</v>
      </c>
      <c r="EQ1" t="n">
        <v>2013</v>
      </c>
      <c r="ER1" t="n">
        <v>2013</v>
      </c>
      <c r="ES1" t="n">
        <v>2013</v>
      </c>
      <c r="ET1" t="n">
        <v>2013</v>
      </c>
      <c r="EU1" t="n">
        <v>2013</v>
      </c>
      <c r="EV1" t="n">
        <v>2013</v>
      </c>
      <c r="EW1" t="n">
        <v>2013</v>
      </c>
      <c r="EX1" t="n">
        <v>2013</v>
      </c>
      <c r="EY1" t="n">
        <v>2013</v>
      </c>
      <c r="EZ1" t="n">
        <v>2014</v>
      </c>
      <c r="FA1" t="n">
        <v>2014</v>
      </c>
      <c r="FB1" t="n">
        <v>2014</v>
      </c>
      <c r="FC1" t="n">
        <v>2014</v>
      </c>
      <c r="FD1" t="n">
        <v>2014</v>
      </c>
      <c r="FE1" t="n">
        <v>2014</v>
      </c>
      <c r="FF1" t="n">
        <v>2014</v>
      </c>
      <c r="FG1" t="n">
        <v>2014</v>
      </c>
      <c r="FH1" t="n">
        <v>2014</v>
      </c>
      <c r="FI1" t="n">
        <v>2014</v>
      </c>
      <c r="FJ1" t="n">
        <v>2014</v>
      </c>
      <c r="FK1" t="n">
        <v>2014</v>
      </c>
      <c r="FL1" t="n">
        <v>2014</v>
      </c>
      <c r="FM1" t="n">
        <v>2014</v>
      </c>
      <c r="FN1" t="n">
        <v>2014</v>
      </c>
      <c r="FO1" t="n">
        <v>2014</v>
      </c>
      <c r="FP1" t="n">
        <v>2014</v>
      </c>
      <c r="FQ1" t="n">
        <v>2015</v>
      </c>
      <c r="FR1" t="n">
        <v>2015</v>
      </c>
      <c r="FS1" t="n">
        <v>2015</v>
      </c>
      <c r="FT1" t="n">
        <v>2015</v>
      </c>
      <c r="FU1" t="n">
        <v>2015</v>
      </c>
      <c r="FV1" t="n">
        <v>2015</v>
      </c>
      <c r="FW1" t="n">
        <v>2015</v>
      </c>
      <c r="FX1" t="n">
        <v>2015</v>
      </c>
      <c r="FY1" t="n">
        <v>2015</v>
      </c>
      <c r="FZ1" t="n">
        <v>2015</v>
      </c>
      <c r="GA1" t="n">
        <v>2015</v>
      </c>
      <c r="GB1" t="n">
        <v>2015</v>
      </c>
      <c r="GC1" t="n">
        <v>2015</v>
      </c>
      <c r="GD1" t="n">
        <v>2015</v>
      </c>
      <c r="GE1" t="n">
        <v>2015</v>
      </c>
      <c r="GF1" t="n">
        <v>2015</v>
      </c>
      <c r="GG1" t="n">
        <v>2015</v>
      </c>
      <c r="GH1" t="n">
        <v>2016</v>
      </c>
      <c r="GI1" t="n">
        <v>2016</v>
      </c>
      <c r="GJ1" t="n">
        <v>2016</v>
      </c>
      <c r="GK1" t="n">
        <v>2016</v>
      </c>
      <c r="GL1" t="n">
        <v>2016</v>
      </c>
      <c r="GM1" t="n">
        <v>2016</v>
      </c>
      <c r="GN1" t="n">
        <v>2016</v>
      </c>
      <c r="GO1" t="n">
        <v>2016</v>
      </c>
      <c r="GP1" t="n">
        <v>2016</v>
      </c>
      <c r="GQ1" t="n">
        <v>2016</v>
      </c>
      <c r="GR1" t="n">
        <v>2016</v>
      </c>
      <c r="GS1" t="n">
        <v>2016</v>
      </c>
      <c r="GT1" t="n">
        <v>2016</v>
      </c>
      <c r="GU1" t="n">
        <v>2016</v>
      </c>
      <c r="GV1" t="n">
        <v>2016</v>
      </c>
      <c r="GW1" t="n">
        <v>2016</v>
      </c>
      <c r="GX1" t="n">
        <v>2016</v>
      </c>
      <c r="GY1" t="n">
        <v>2017</v>
      </c>
      <c r="GZ1" t="n">
        <v>2017</v>
      </c>
      <c r="HA1" t="n">
        <v>2017</v>
      </c>
      <c r="HB1" t="n">
        <v>2017</v>
      </c>
      <c r="HC1" t="n">
        <v>2017</v>
      </c>
      <c r="HD1" t="n">
        <v>2017</v>
      </c>
      <c r="HE1" t="n">
        <v>2017</v>
      </c>
      <c r="HF1" t="n">
        <v>2017</v>
      </c>
      <c r="HG1" t="n">
        <v>2017</v>
      </c>
      <c r="HH1" t="n">
        <v>2017</v>
      </c>
      <c r="HI1" t="n">
        <v>2017</v>
      </c>
      <c r="HJ1" t="n">
        <v>2017</v>
      </c>
      <c r="HK1" t="n">
        <v>2017</v>
      </c>
      <c r="HL1" t="n">
        <v>2017</v>
      </c>
      <c r="HM1" t="n">
        <v>2017</v>
      </c>
      <c r="HN1" t="n">
        <v>2017</v>
      </c>
      <c r="HO1" t="n">
        <v>2017</v>
      </c>
      <c r="HP1" t="n">
        <v>2018</v>
      </c>
      <c r="HQ1" t="n">
        <v>2018</v>
      </c>
      <c r="HR1" t="n">
        <v>2018</v>
      </c>
      <c r="HS1" t="n">
        <v>2018</v>
      </c>
      <c r="HT1" t="n">
        <v>2018</v>
      </c>
      <c r="HU1" t="n">
        <v>2018</v>
      </c>
      <c r="HV1" t="n">
        <v>2018</v>
      </c>
      <c r="HW1" t="n">
        <v>2018</v>
      </c>
      <c r="HX1" t="n">
        <v>2018</v>
      </c>
      <c r="HY1" t="n">
        <v>2018</v>
      </c>
      <c r="HZ1" t="n">
        <v>2018</v>
      </c>
      <c r="IA1" t="n">
        <v>2018</v>
      </c>
      <c r="IB1" t="n">
        <v>2018</v>
      </c>
      <c r="IC1" t="n">
        <v>2018</v>
      </c>
      <c r="ID1" t="n">
        <v>2018</v>
      </c>
      <c r="IE1" t="n">
        <v>2018</v>
      </c>
      <c r="IF1" t="n">
        <v>2018</v>
      </c>
      <c r="IG1" t="n">
        <v>2019</v>
      </c>
      <c r="IH1" t="n">
        <v>2019</v>
      </c>
      <c r="II1" t="n">
        <v>2019</v>
      </c>
      <c r="IJ1" t="n">
        <v>2019</v>
      </c>
      <c r="IK1" t="n">
        <v>2019</v>
      </c>
      <c r="IL1" t="n">
        <v>2019</v>
      </c>
      <c r="IM1" t="n">
        <v>2019</v>
      </c>
      <c r="IN1" t="n">
        <v>2019</v>
      </c>
      <c r="IO1" t="n">
        <v>2019</v>
      </c>
      <c r="IP1" t="n">
        <v>2019</v>
      </c>
      <c r="IQ1" t="n">
        <v>2019</v>
      </c>
      <c r="IR1" t="n">
        <v>2019</v>
      </c>
      <c r="IS1" t="n">
        <v>2019</v>
      </c>
      <c r="IT1" t="n">
        <v>2019</v>
      </c>
      <c r="IU1" t="n">
        <v>2019</v>
      </c>
      <c r="IV1" t="n">
        <v>2019</v>
      </c>
      <c r="IW1" t="n">
        <v>2019</v>
      </c>
      <c r="IX1" t="n">
        <v>2020</v>
      </c>
      <c r="IY1" t="n">
        <v>2020</v>
      </c>
      <c r="IZ1" t="n">
        <v>2020</v>
      </c>
      <c r="JA1" t="n">
        <v>2020</v>
      </c>
      <c r="JB1" t="n">
        <v>2020</v>
      </c>
      <c r="JC1" t="n">
        <v>2020</v>
      </c>
      <c r="JD1" t="n">
        <v>2020</v>
      </c>
      <c r="JE1" t="n">
        <v>2020</v>
      </c>
      <c r="JF1" t="n">
        <v>2020</v>
      </c>
      <c r="JG1" t="n">
        <v>2020</v>
      </c>
      <c r="JH1" t="n">
        <v>2020</v>
      </c>
      <c r="JI1" t="n">
        <v>2020</v>
      </c>
      <c r="JJ1" t="n">
        <v>2020</v>
      </c>
      <c r="JK1" t="n">
        <v>2020</v>
      </c>
      <c r="JL1" t="n">
        <v>2020</v>
      </c>
      <c r="JM1" t="n">
        <v>2020</v>
      </c>
      <c r="JN1" t="n">
        <v>2020</v>
      </c>
      <c r="JO1" t="n">
        <v>2021</v>
      </c>
      <c r="JP1" t="n">
        <v>2021</v>
      </c>
      <c r="JQ1" t="n">
        <v>2021</v>
      </c>
      <c r="JR1" t="n">
        <v>2021</v>
      </c>
      <c r="JS1" t="n">
        <v>2021</v>
      </c>
      <c r="JT1" t="n">
        <v>2021</v>
      </c>
      <c r="JU1" t="n">
        <v>2021</v>
      </c>
      <c r="JV1" t="n">
        <v>2021</v>
      </c>
      <c r="JW1" t="n">
        <v>2021</v>
      </c>
      <c r="JX1" t="n">
        <v>2021</v>
      </c>
      <c r="JY1" t="n">
        <v>2021</v>
      </c>
      <c r="JZ1" t="n">
        <v>2021</v>
      </c>
      <c r="KA1" t="n">
        <v>2021</v>
      </c>
      <c r="KB1" t="n">
        <v>2021</v>
      </c>
      <c r="KC1" t="n">
        <v>2021</v>
      </c>
      <c r="KD1" t="n">
        <v>2021</v>
      </c>
      <c r="KE1" t="n">
        <v>2021</v>
      </c>
      <c r="KF1" t="n">
        <v>2022</v>
      </c>
      <c r="KG1" t="n">
        <v>2022</v>
      </c>
      <c r="KH1" t="n">
        <v>2022</v>
      </c>
      <c r="KI1" t="n">
        <v>2022</v>
      </c>
      <c r="KJ1" t="n">
        <v>2022</v>
      </c>
      <c r="KK1" t="n">
        <v>2022</v>
      </c>
      <c r="KL1" t="n">
        <v>2022</v>
      </c>
      <c r="KM1" t="n">
        <v>2022</v>
      </c>
      <c r="KN1" t="n">
        <v>2022</v>
      </c>
      <c r="KO1" t="n">
        <v>2022</v>
      </c>
      <c r="KP1" t="n">
        <v>2022</v>
      </c>
      <c r="KQ1" t="n">
        <v>2022</v>
      </c>
      <c r="KR1" t="n">
        <v>2022</v>
      </c>
      <c r="KS1" t="n">
        <v>2022</v>
      </c>
      <c r="KT1" t="n">
        <v>2022</v>
      </c>
      <c r="KU1" t="n">
        <v>2022</v>
      </c>
      <c r="KV1" t="n">
        <v>2022</v>
      </c>
      <c r="KW1" t="n">
        <v>2023</v>
      </c>
      <c r="KX1" t="n">
        <v>2023</v>
      </c>
      <c r="KY1" t="n">
        <v>2023</v>
      </c>
      <c r="KZ1" t="n">
        <v>2023</v>
      </c>
      <c r="LA1" t="n">
        <v>2023</v>
      </c>
      <c r="LB1" t="n">
        <v>2023</v>
      </c>
      <c r="LC1" t="n">
        <v>2023</v>
      </c>
      <c r="LD1" t="n">
        <v>2023</v>
      </c>
      <c r="LE1" t="n">
        <v>2023</v>
      </c>
      <c r="LF1" t="n">
        <v>2023</v>
      </c>
      <c r="LG1" t="n">
        <v>2023</v>
      </c>
      <c r="LH1" t="n">
        <v>2023</v>
      </c>
      <c r="LI1" t="n">
        <v>2023</v>
      </c>
      <c r="LJ1" t="n">
        <v>2023</v>
      </c>
      <c r="LK1" t="n">
        <v>2023</v>
      </c>
      <c r="LL1" t="n">
        <v>2023</v>
      </c>
      <c r="LM1" t="n">
        <v>2023</v>
      </c>
      <c r="LN1" t="n">
        <v>2024</v>
      </c>
      <c r="LO1" t="n">
        <v>2024</v>
      </c>
      <c r="LP1" t="n">
        <v>2024</v>
      </c>
      <c r="LQ1" t="n">
        <v>2024</v>
      </c>
      <c r="LR1" t="n">
        <v>2024</v>
      </c>
      <c r="LS1" t="n">
        <v>2024</v>
      </c>
      <c r="LT1" t="n">
        <v>2024</v>
      </c>
      <c r="LU1" t="n">
        <v>2024</v>
      </c>
      <c r="LV1" t="n">
        <v>2024</v>
      </c>
      <c r="LW1" t="n">
        <v>2024</v>
      </c>
      <c r="LX1" t="n">
        <v>2024</v>
      </c>
      <c r="LY1" t="n">
        <v>2024</v>
      </c>
      <c r="LZ1" t="n">
        <v>2024</v>
      </c>
      <c r="MA1" t="n">
        <v>2024</v>
      </c>
      <c r="MB1" t="n">
        <v>2024</v>
      </c>
      <c r="MC1" t="n">
        <v>2024</v>
      </c>
      <c r="MD1" t="n">
        <v>2024</v>
      </c>
      <c r="ME1" t="n">
        <v>2025</v>
      </c>
      <c r="MF1" t="n">
        <v>2025</v>
      </c>
      <c r="MG1" t="n">
        <v>2025</v>
      </c>
      <c r="MH1" t="n">
        <v>2025</v>
      </c>
      <c r="MI1" t="n">
        <v>2025</v>
      </c>
      <c r="MJ1" t="n">
        <v>2025</v>
      </c>
      <c r="MK1" t="n">
        <v>2025</v>
      </c>
      <c r="ML1" t="n">
        <v>2025</v>
      </c>
      <c r="MM1" t="n">
        <v>2025</v>
      </c>
      <c r="MN1" t="n">
        <v>2025</v>
      </c>
      <c r="MO1" t="n">
        <v>2025</v>
      </c>
      <c r="MP1" t="n">
        <v>2025</v>
      </c>
      <c r="MQ1" t="n">
        <v>2025</v>
      </c>
      <c r="MR1" t="n">
        <v>2025</v>
      </c>
      <c r="MS1" t="n">
        <v>2025</v>
      </c>
      <c r="MT1" t="n">
        <v>2025</v>
      </c>
      <c r="MU1" t="n">
        <v>2025</v>
      </c>
      <c r="MV1" t="n">
        <v>2026</v>
      </c>
      <c r="MW1" t="n">
        <v>2026</v>
      </c>
      <c r="MX1" t="n">
        <v>2026</v>
      </c>
      <c r="MY1" t="n">
        <v>2026</v>
      </c>
      <c r="MZ1" t="n">
        <v>2026</v>
      </c>
      <c r="NA1" t="n">
        <v>2026</v>
      </c>
      <c r="NB1" t="n">
        <v>2026</v>
      </c>
      <c r="NC1" t="n">
        <v>2026</v>
      </c>
      <c r="ND1" t="n">
        <v>2026</v>
      </c>
      <c r="NE1" t="n">
        <v>2026</v>
      </c>
      <c r="NF1" t="n">
        <v>2026</v>
      </c>
      <c r="NG1" t="n">
        <v>2026</v>
      </c>
      <c r="NH1" t="n">
        <v>2026</v>
      </c>
      <c r="NI1" t="n">
        <v>2026</v>
      </c>
      <c r="NJ1" t="n">
        <v>2026</v>
      </c>
      <c r="NK1" t="n">
        <v>2026</v>
      </c>
      <c r="NL1" t="n">
        <v>2026</v>
      </c>
    </row>
    <row r="2">
      <c r="A2" t="inlineStr">
        <is>
          <t>시도별(1)</t>
        </is>
      </c>
      <c r="B2" t="inlineStr">
        <is>
          <t>시도별(2)</t>
        </is>
      </c>
      <c r="C2" t="inlineStr">
        <is>
          <t>합계:면적 (ha)</t>
        </is>
      </c>
      <c r="D2" t="inlineStr">
        <is>
          <t>합계:생산량 (톤)</t>
        </is>
      </c>
      <c r="E2" t="inlineStr">
        <is>
          <t>고구마:면적 (ha)</t>
        </is>
      </c>
      <c r="F2" t="inlineStr">
        <is>
          <t>고구마:10a당 생산량 (kg)</t>
        </is>
      </c>
      <c r="G2" t="inlineStr">
        <is>
          <t>고구마:생산량 (톤)</t>
        </is>
      </c>
      <c r="H2" t="inlineStr">
        <is>
          <t>감자:면적 (ha)</t>
        </is>
      </c>
      <c r="I2" t="inlineStr">
        <is>
          <t>감자:10a당 생산량 (kg)</t>
        </is>
      </c>
      <c r="J2" t="inlineStr">
        <is>
          <t>감자:생산량 (톤)</t>
        </is>
      </c>
      <c r="K2" t="inlineStr">
        <is>
          <t>일반봄감자:면적 (ha)</t>
        </is>
      </c>
      <c r="L2" t="inlineStr">
        <is>
          <t>일반봄감자:10a당 생산량 (kg)</t>
        </is>
      </c>
      <c r="M2" t="inlineStr">
        <is>
          <t>일반봄감자:생산량 (톤)</t>
        </is>
      </c>
      <c r="N2" t="inlineStr">
        <is>
          <t>고랭지감자:면적 (ha)</t>
        </is>
      </c>
      <c r="O2" t="inlineStr">
        <is>
          <t>고랭지감자:10a당 생산량 (kg)</t>
        </is>
      </c>
      <c r="P2" t="inlineStr">
        <is>
          <t>고랭지감자:생산량 (톤)</t>
        </is>
      </c>
      <c r="Q2" t="inlineStr">
        <is>
          <t>가을감자:면적 (ha)</t>
        </is>
      </c>
      <c r="R2" t="inlineStr">
        <is>
          <t>가을감자:10a당 생산량 (kg)</t>
        </is>
      </c>
      <c r="S2" t="inlineStr">
        <is>
          <t>가을감자:생산량 (톤)</t>
        </is>
      </c>
      <c r="T2" t="inlineStr">
        <is>
          <t>합계:면적 (ha)</t>
        </is>
      </c>
      <c r="U2" t="inlineStr">
        <is>
          <t>합계:생산량 (톤)</t>
        </is>
      </c>
      <c r="V2" t="inlineStr">
        <is>
          <t>고구마:면적 (ha)</t>
        </is>
      </c>
      <c r="W2" t="inlineStr">
        <is>
          <t>고구마:10a당 생산량 (kg)</t>
        </is>
      </c>
      <c r="X2" t="inlineStr">
        <is>
          <t>고구마:생산량 (톤)</t>
        </is>
      </c>
      <c r="Y2" t="inlineStr">
        <is>
          <t>감자:면적 (ha)</t>
        </is>
      </c>
      <c r="Z2" t="inlineStr">
        <is>
          <t>감자:10a당 생산량 (kg)</t>
        </is>
      </c>
      <c r="AA2" t="inlineStr">
        <is>
          <t>감자:생산량 (톤)</t>
        </is>
      </c>
      <c r="AB2" t="inlineStr">
        <is>
          <t>일반봄감자:면적 (ha)</t>
        </is>
      </c>
      <c r="AC2" t="inlineStr">
        <is>
          <t>일반봄감자:10a당 생산량 (kg)</t>
        </is>
      </c>
      <c r="AD2" t="inlineStr">
        <is>
          <t>일반봄감자:생산량 (톤)</t>
        </is>
      </c>
      <c r="AE2" t="inlineStr">
        <is>
          <t>고랭지감자:면적 (ha)</t>
        </is>
      </c>
      <c r="AF2" t="inlineStr">
        <is>
          <t>고랭지감자:10a당 생산량 (kg)</t>
        </is>
      </c>
      <c r="AG2" t="inlineStr">
        <is>
          <t>고랭지감자:생산량 (톤)</t>
        </is>
      </c>
      <c r="AH2" t="inlineStr">
        <is>
          <t>가을감자:면적 (ha)</t>
        </is>
      </c>
      <c r="AI2" t="inlineStr">
        <is>
          <t>가을감자:10a당 생산량 (kg)</t>
        </is>
      </c>
      <c r="AJ2" t="inlineStr">
        <is>
          <t>가을감자:생산량 (톤)</t>
        </is>
      </c>
      <c r="AK2" t="inlineStr">
        <is>
          <t>합계:면적 (ha)</t>
        </is>
      </c>
      <c r="AL2" t="inlineStr">
        <is>
          <t>합계:생산량 (톤)</t>
        </is>
      </c>
      <c r="AM2" t="inlineStr">
        <is>
          <t>고구마:면적 (ha)</t>
        </is>
      </c>
      <c r="AN2" t="inlineStr">
        <is>
          <t>고구마:10a당 생산량 (kg)</t>
        </is>
      </c>
      <c r="AO2" t="inlineStr">
        <is>
          <t>고구마:생산량 (톤)</t>
        </is>
      </c>
      <c r="AP2" t="inlineStr">
        <is>
          <t>감자:면적 (ha)</t>
        </is>
      </c>
      <c r="AQ2" t="inlineStr">
        <is>
          <t>감자:10a당 생산량 (kg)</t>
        </is>
      </c>
      <c r="AR2" t="inlineStr">
        <is>
          <t>감자:생산량 (톤)</t>
        </is>
      </c>
      <c r="AS2" t="inlineStr">
        <is>
          <t>일반봄감자:면적 (ha)</t>
        </is>
      </c>
      <c r="AT2" t="inlineStr">
        <is>
          <t>일반봄감자:10a당 생산량 (kg)</t>
        </is>
      </c>
      <c r="AU2" t="inlineStr">
        <is>
          <t>일반봄감자:생산량 (톤)</t>
        </is>
      </c>
      <c r="AV2" t="inlineStr">
        <is>
          <t>고랭지감자:면적 (ha)</t>
        </is>
      </c>
      <c r="AW2" t="inlineStr">
        <is>
          <t>고랭지감자:10a당 생산량 (kg)</t>
        </is>
      </c>
      <c r="AX2" t="inlineStr">
        <is>
          <t>고랭지감자:생산량 (톤)</t>
        </is>
      </c>
      <c r="AY2" t="inlineStr">
        <is>
          <t>가을감자:면적 (ha)</t>
        </is>
      </c>
      <c r="AZ2" t="inlineStr">
        <is>
          <t>가을감자:10a당 생산량 (kg)</t>
        </is>
      </c>
      <c r="BA2" t="inlineStr">
        <is>
          <t>가을감자:생산량 (톤)</t>
        </is>
      </c>
      <c r="BB2" t="inlineStr">
        <is>
          <t>합계:면적 (ha)</t>
        </is>
      </c>
      <c r="BC2" t="inlineStr">
        <is>
          <t>합계:생산량 (톤)</t>
        </is>
      </c>
      <c r="BD2" t="inlineStr">
        <is>
          <t>고구마:면적 (ha)</t>
        </is>
      </c>
      <c r="BE2" t="inlineStr">
        <is>
          <t>고구마:10a당 생산량 (kg)</t>
        </is>
      </c>
      <c r="BF2" t="inlineStr">
        <is>
          <t>고구마:생산량 (톤)</t>
        </is>
      </c>
      <c r="BG2" t="inlineStr">
        <is>
          <t>감자:면적 (ha)</t>
        </is>
      </c>
      <c r="BH2" t="inlineStr">
        <is>
          <t>감자:10a당 생산량 (kg)</t>
        </is>
      </c>
      <c r="BI2" t="inlineStr">
        <is>
          <t>감자:생산량 (톤)</t>
        </is>
      </c>
      <c r="BJ2" t="inlineStr">
        <is>
          <t>일반봄감자:면적 (ha)</t>
        </is>
      </c>
      <c r="BK2" t="inlineStr">
        <is>
          <t>일반봄감자:10a당 생산량 (kg)</t>
        </is>
      </c>
      <c r="BL2" t="inlineStr">
        <is>
          <t>일반봄감자:생산량 (톤)</t>
        </is>
      </c>
      <c r="BM2" t="inlineStr">
        <is>
          <t>고랭지감자:면적 (ha)</t>
        </is>
      </c>
      <c r="BN2" t="inlineStr">
        <is>
          <t>고랭지감자:10a당 생산량 (kg)</t>
        </is>
      </c>
      <c r="BO2" t="inlineStr">
        <is>
          <t>고랭지감자:생산량 (톤)</t>
        </is>
      </c>
      <c r="BP2" t="inlineStr">
        <is>
          <t>가을감자:면적 (ha)</t>
        </is>
      </c>
      <c r="BQ2" t="inlineStr">
        <is>
          <t>가을감자:10a당 생산량 (kg)</t>
        </is>
      </c>
      <c r="BR2" t="inlineStr">
        <is>
          <t>가을감자:생산량 (톤)</t>
        </is>
      </c>
      <c r="BS2" t="inlineStr">
        <is>
          <t>합계:면적 (ha)</t>
        </is>
      </c>
      <c r="BT2" t="inlineStr">
        <is>
          <t>합계:생산량 (톤)</t>
        </is>
      </c>
      <c r="BU2" t="inlineStr">
        <is>
          <t>고구마:면적 (ha)</t>
        </is>
      </c>
      <c r="BV2" t="inlineStr">
        <is>
          <t>고구마:10a당 생산량 (kg)</t>
        </is>
      </c>
      <c r="BW2" t="inlineStr">
        <is>
          <t>고구마:생산량 (톤)</t>
        </is>
      </c>
      <c r="BX2" t="inlineStr">
        <is>
          <t>감자:면적 (ha)</t>
        </is>
      </c>
      <c r="BY2" t="inlineStr">
        <is>
          <t>감자:10a당 생산량 (kg)</t>
        </is>
      </c>
      <c r="BZ2" t="inlineStr">
        <is>
          <t>감자:생산량 (톤)</t>
        </is>
      </c>
      <c r="CA2" t="inlineStr">
        <is>
          <t>일반봄감자:면적 (ha)</t>
        </is>
      </c>
      <c r="CB2" t="inlineStr">
        <is>
          <t>일반봄감자:10a당 생산량 (kg)</t>
        </is>
      </c>
      <c r="CC2" t="inlineStr">
        <is>
          <t>일반봄감자:생산량 (톤)</t>
        </is>
      </c>
      <c r="CD2" t="inlineStr">
        <is>
          <t>고랭지감자:면적 (ha)</t>
        </is>
      </c>
      <c r="CE2" t="inlineStr">
        <is>
          <t>고랭지감자:10a당 생산량 (kg)</t>
        </is>
      </c>
      <c r="CF2" t="inlineStr">
        <is>
          <t>고랭지감자:생산량 (톤)</t>
        </is>
      </c>
      <c r="CG2" t="inlineStr">
        <is>
          <t>가을감자:면적 (ha)</t>
        </is>
      </c>
      <c r="CH2" t="inlineStr">
        <is>
          <t>가을감자:10a당 생산량 (kg)</t>
        </is>
      </c>
      <c r="CI2" t="inlineStr">
        <is>
          <t>가을감자:생산량 (톤)</t>
        </is>
      </c>
      <c r="CJ2" t="inlineStr">
        <is>
          <t>합계:면적 (ha)</t>
        </is>
      </c>
      <c r="CK2" t="inlineStr">
        <is>
          <t>합계:생산량 (톤)</t>
        </is>
      </c>
      <c r="CL2" t="inlineStr">
        <is>
          <t>고구마:면적 (ha)</t>
        </is>
      </c>
      <c r="CM2" t="inlineStr">
        <is>
          <t>고구마:10a당 생산량 (kg)</t>
        </is>
      </c>
      <c r="CN2" t="inlineStr">
        <is>
          <t>고구마:생산량 (톤)</t>
        </is>
      </c>
      <c r="CO2" t="inlineStr">
        <is>
          <t>감자:면적 (ha)</t>
        </is>
      </c>
      <c r="CP2" t="inlineStr">
        <is>
          <t>감자:10a당 생산량 (kg)</t>
        </is>
      </c>
      <c r="CQ2" t="inlineStr">
        <is>
          <t>감자:생산량 (톤)</t>
        </is>
      </c>
      <c r="CR2" t="inlineStr">
        <is>
          <t>일반봄감자:면적 (ha)</t>
        </is>
      </c>
      <c r="CS2" t="inlineStr">
        <is>
          <t>일반봄감자:10a당 생산량 (kg)</t>
        </is>
      </c>
      <c r="CT2" t="inlineStr">
        <is>
          <t>일반봄감자:생산량 (톤)</t>
        </is>
      </c>
      <c r="CU2" t="inlineStr">
        <is>
          <t>고랭지감자:면적 (ha)</t>
        </is>
      </c>
      <c r="CV2" t="inlineStr">
        <is>
          <t>고랭지감자:10a당 생산량 (kg)</t>
        </is>
      </c>
      <c r="CW2" t="inlineStr">
        <is>
          <t>고랭지감자:생산량 (톤)</t>
        </is>
      </c>
      <c r="CX2" t="inlineStr">
        <is>
          <t>가을감자:면적 (ha)</t>
        </is>
      </c>
      <c r="CY2" t="inlineStr">
        <is>
          <t>가을감자:10a당 생산량 (kg)</t>
        </is>
      </c>
      <c r="CZ2" t="inlineStr">
        <is>
          <t>가을감자:생산량 (톤)</t>
        </is>
      </c>
      <c r="DA2" t="inlineStr">
        <is>
          <t>합계:면적 (ha)</t>
        </is>
      </c>
      <c r="DB2" t="inlineStr">
        <is>
          <t>합계:생산량 (톤)</t>
        </is>
      </c>
      <c r="DC2" t="inlineStr">
        <is>
          <t>고구마:면적 (ha)</t>
        </is>
      </c>
      <c r="DD2" t="inlineStr">
        <is>
          <t>고구마:10a당 생산량 (kg)</t>
        </is>
      </c>
      <c r="DE2" t="inlineStr">
        <is>
          <t>고구마:생산량 (톤)</t>
        </is>
      </c>
      <c r="DF2" t="inlineStr">
        <is>
          <t>감자:면적 (ha)</t>
        </is>
      </c>
      <c r="DG2" t="inlineStr">
        <is>
          <t>감자:10a당 생산량 (kg)</t>
        </is>
      </c>
      <c r="DH2" t="inlineStr">
        <is>
          <t>감자:생산량 (톤)</t>
        </is>
      </c>
      <c r="DI2" t="inlineStr">
        <is>
          <t>일반봄감자:면적 (ha)</t>
        </is>
      </c>
      <c r="DJ2" t="inlineStr">
        <is>
          <t>일반봄감자:10a당 생산량 (kg)</t>
        </is>
      </c>
      <c r="DK2" t="inlineStr">
        <is>
          <t>일반봄감자:생산량 (톤)</t>
        </is>
      </c>
      <c r="DL2" t="inlineStr">
        <is>
          <t>고랭지감자:면적 (ha)</t>
        </is>
      </c>
      <c r="DM2" t="inlineStr">
        <is>
          <t>고랭지감자:10a당 생산량 (kg)</t>
        </is>
      </c>
      <c r="DN2" t="inlineStr">
        <is>
          <t>고랭지감자:생산량 (톤)</t>
        </is>
      </c>
      <c r="DO2" t="inlineStr">
        <is>
          <t>가을감자:면적 (ha)</t>
        </is>
      </c>
      <c r="DP2" t="inlineStr">
        <is>
          <t>가을감자:10a당 생산량 (kg)</t>
        </is>
      </c>
      <c r="DQ2" t="inlineStr">
        <is>
          <t>가을감자:생산량 (톤)</t>
        </is>
      </c>
      <c r="DR2" t="inlineStr">
        <is>
          <t>합계:면적 (ha)</t>
        </is>
      </c>
      <c r="DS2" t="inlineStr">
        <is>
          <t>합계:생산량 (톤)</t>
        </is>
      </c>
      <c r="DT2" t="inlineStr">
        <is>
          <t>고구마:면적 (ha)</t>
        </is>
      </c>
      <c r="DU2" t="inlineStr">
        <is>
          <t>고구마:10a당 생산량 (kg)</t>
        </is>
      </c>
      <c r="DV2" t="inlineStr">
        <is>
          <t>고구마:생산량 (톤)</t>
        </is>
      </c>
      <c r="DW2" t="inlineStr">
        <is>
          <t>감자:면적 (ha)</t>
        </is>
      </c>
      <c r="DX2" t="inlineStr">
        <is>
          <t>감자:10a당 생산량 (kg)</t>
        </is>
      </c>
      <c r="DY2" t="inlineStr">
        <is>
          <t>감자:생산량 (톤)</t>
        </is>
      </c>
      <c r="DZ2" t="inlineStr">
        <is>
          <t>일반봄감자:면적 (ha)</t>
        </is>
      </c>
      <c r="EA2" t="inlineStr">
        <is>
          <t>일반봄감자:10a당 생산량 (kg)</t>
        </is>
      </c>
      <c r="EB2" t="inlineStr">
        <is>
          <t>일반봄감자:생산량 (톤)</t>
        </is>
      </c>
      <c r="EC2" t="inlineStr">
        <is>
          <t>고랭지감자:면적 (ha)</t>
        </is>
      </c>
      <c r="ED2" t="inlineStr">
        <is>
          <t>고랭지감자:10a당 생산량 (kg)</t>
        </is>
      </c>
      <c r="EE2" t="inlineStr">
        <is>
          <t>고랭지감자:생산량 (톤)</t>
        </is>
      </c>
      <c r="EF2" t="inlineStr">
        <is>
          <t>가을감자:면적 (ha)</t>
        </is>
      </c>
      <c r="EG2" t="inlineStr">
        <is>
          <t>가을감자:10a당 생산량 (kg)</t>
        </is>
      </c>
      <c r="EH2" t="inlineStr">
        <is>
          <t>가을감자:생산량 (톤)</t>
        </is>
      </c>
      <c r="EI2" t="inlineStr">
        <is>
          <t>합계:면적 (ha)</t>
        </is>
      </c>
      <c r="EJ2" t="inlineStr">
        <is>
          <t>합계:생산량 (톤)</t>
        </is>
      </c>
      <c r="EK2" t="inlineStr">
        <is>
          <t>고구마:면적 (ha)</t>
        </is>
      </c>
      <c r="EL2" t="inlineStr">
        <is>
          <t>고구마:10a당 생산량 (kg)</t>
        </is>
      </c>
      <c r="EM2" t="inlineStr">
        <is>
          <t>고구마:생산량 (톤)</t>
        </is>
      </c>
      <c r="EN2" t="inlineStr">
        <is>
          <t>감자:면적 (ha)</t>
        </is>
      </c>
      <c r="EO2" t="inlineStr">
        <is>
          <t>감자:10a당 생산량 (kg)</t>
        </is>
      </c>
      <c r="EP2" t="inlineStr">
        <is>
          <t>감자:생산량 (톤)</t>
        </is>
      </c>
      <c r="EQ2" t="inlineStr">
        <is>
          <t>일반봄감자:면적 (ha)</t>
        </is>
      </c>
      <c r="ER2" t="inlineStr">
        <is>
          <t>일반봄감자:10a당 생산량 (kg)</t>
        </is>
      </c>
      <c r="ES2" t="inlineStr">
        <is>
          <t>일반봄감자:생산량 (톤)</t>
        </is>
      </c>
      <c r="ET2" t="inlineStr">
        <is>
          <t>고랭지감자:면적 (ha)</t>
        </is>
      </c>
      <c r="EU2" t="inlineStr">
        <is>
          <t>고랭지감자:10a당 생산량 (kg)</t>
        </is>
      </c>
      <c r="EV2" t="inlineStr">
        <is>
          <t>고랭지감자:생산량 (톤)</t>
        </is>
      </c>
      <c r="EW2" t="inlineStr">
        <is>
          <t>가을감자:면적 (ha)</t>
        </is>
      </c>
      <c r="EX2" t="inlineStr">
        <is>
          <t>가을감자:10a당 생산량 (kg)</t>
        </is>
      </c>
      <c r="EY2" t="inlineStr">
        <is>
          <t>가을감자:생산량 (톤)</t>
        </is>
      </c>
      <c r="EZ2" t="inlineStr">
        <is>
          <t>합계:면적 (ha)</t>
        </is>
      </c>
      <c r="FA2" t="inlineStr">
        <is>
          <t>합계:생산량 (톤)</t>
        </is>
      </c>
      <c r="FB2" t="inlineStr">
        <is>
          <t>고구마:면적 (ha)</t>
        </is>
      </c>
      <c r="FC2" t="inlineStr">
        <is>
          <t>고구마:10a당 생산량 (kg)</t>
        </is>
      </c>
      <c r="FD2" t="inlineStr">
        <is>
          <t>고구마:생산량 (톤)</t>
        </is>
      </c>
      <c r="FE2" t="inlineStr">
        <is>
          <t>감자:면적 (ha)</t>
        </is>
      </c>
      <c r="FF2" t="inlineStr">
        <is>
          <t>감자:10a당 생산량 (kg)</t>
        </is>
      </c>
      <c r="FG2" t="inlineStr">
        <is>
          <t>감자:생산량 (톤)</t>
        </is>
      </c>
      <c r="FH2" t="inlineStr">
        <is>
          <t>일반봄감자:면적 (ha)</t>
        </is>
      </c>
      <c r="FI2" t="inlineStr">
        <is>
          <t>일반봄감자:10a당 생산량 (kg)</t>
        </is>
      </c>
      <c r="FJ2" t="inlineStr">
        <is>
          <t>일반봄감자:생산량 (톤)</t>
        </is>
      </c>
      <c r="FK2" t="inlineStr">
        <is>
          <t>고랭지감자:면적 (ha)</t>
        </is>
      </c>
      <c r="FL2" t="inlineStr">
        <is>
          <t>고랭지감자:10a당 생산량 (kg)</t>
        </is>
      </c>
      <c r="FM2" t="inlineStr">
        <is>
          <t>고랭지감자:생산량 (톤)</t>
        </is>
      </c>
      <c r="FN2" t="inlineStr">
        <is>
          <t>가을감자:면적 (ha)</t>
        </is>
      </c>
      <c r="FO2" t="inlineStr">
        <is>
          <t>가을감자:10a당 생산량 (kg)</t>
        </is>
      </c>
      <c r="FP2" t="inlineStr">
        <is>
          <t>가을감자:생산량 (톤)</t>
        </is>
      </c>
      <c r="FQ2" t="inlineStr">
        <is>
          <t>합계:면적 (ha)</t>
        </is>
      </c>
      <c r="FR2" t="inlineStr">
        <is>
          <t>합계:생산량 (톤)</t>
        </is>
      </c>
      <c r="FS2" t="inlineStr">
        <is>
          <t>고구마:면적 (ha)</t>
        </is>
      </c>
      <c r="FT2" t="inlineStr">
        <is>
          <t>고구마:10a당 생산량 (kg)</t>
        </is>
      </c>
      <c r="FU2" t="inlineStr">
        <is>
          <t>고구마:생산량 (톤)</t>
        </is>
      </c>
      <c r="FV2" t="inlineStr">
        <is>
          <t>감자:면적 (ha)</t>
        </is>
      </c>
      <c r="FW2" t="inlineStr">
        <is>
          <t>감자:10a당 생산량 (kg)</t>
        </is>
      </c>
      <c r="FX2" t="inlineStr">
        <is>
          <t>감자:생산량 (톤)</t>
        </is>
      </c>
      <c r="FY2" t="inlineStr">
        <is>
          <t>일반봄감자:면적 (ha)</t>
        </is>
      </c>
      <c r="FZ2" t="inlineStr">
        <is>
          <t>일반봄감자:10a당 생산량 (kg)</t>
        </is>
      </c>
      <c r="GA2" t="inlineStr">
        <is>
          <t>일반봄감자:생산량 (톤)</t>
        </is>
      </c>
      <c r="GB2" t="inlineStr">
        <is>
          <t>고랭지감자:면적 (ha)</t>
        </is>
      </c>
      <c r="GC2" t="inlineStr">
        <is>
          <t>고랭지감자:10a당 생산량 (kg)</t>
        </is>
      </c>
      <c r="GD2" t="inlineStr">
        <is>
          <t>고랭지감자:생산량 (톤)</t>
        </is>
      </c>
      <c r="GE2" t="inlineStr">
        <is>
          <t>가을감자:면적 (ha)</t>
        </is>
      </c>
      <c r="GF2" t="inlineStr">
        <is>
          <t>가을감자:10a당 생산량 (kg)</t>
        </is>
      </c>
      <c r="GG2" t="inlineStr">
        <is>
          <t>가을감자:생산량 (톤)</t>
        </is>
      </c>
      <c r="GH2" t="inlineStr">
        <is>
          <t>합계:면적 (ha)</t>
        </is>
      </c>
      <c r="GI2" t="inlineStr">
        <is>
          <t>합계:생산량 (톤)</t>
        </is>
      </c>
      <c r="GJ2" t="inlineStr">
        <is>
          <t>고구마:면적 (ha)</t>
        </is>
      </c>
      <c r="GK2" t="inlineStr">
        <is>
          <t>고구마:10a당 생산량 (kg)</t>
        </is>
      </c>
      <c r="GL2" t="inlineStr">
        <is>
          <t>고구마:생산량 (톤)</t>
        </is>
      </c>
      <c r="GM2" t="inlineStr">
        <is>
          <t>감자:면적 (ha)</t>
        </is>
      </c>
      <c r="GN2" t="inlineStr">
        <is>
          <t>감자:10a당 생산량 (kg)</t>
        </is>
      </c>
      <c r="GO2" t="inlineStr">
        <is>
          <t>감자:생산량 (톤)</t>
        </is>
      </c>
      <c r="GP2" t="inlineStr">
        <is>
          <t>일반봄감자:면적 (ha)</t>
        </is>
      </c>
      <c r="GQ2" t="inlineStr">
        <is>
          <t>일반봄감자:10a당 생산량 (kg)</t>
        </is>
      </c>
      <c r="GR2" t="inlineStr">
        <is>
          <t>일반봄감자:생산량 (톤)</t>
        </is>
      </c>
      <c r="GS2" t="inlineStr">
        <is>
          <t>고랭지감자:면적 (ha)</t>
        </is>
      </c>
      <c r="GT2" t="inlineStr">
        <is>
          <t>고랭지감자:10a당 생산량 (kg)</t>
        </is>
      </c>
      <c r="GU2" t="inlineStr">
        <is>
          <t>고랭지감자:생산량 (톤)</t>
        </is>
      </c>
      <c r="GV2" t="inlineStr">
        <is>
          <t>가을감자:면적 (ha)</t>
        </is>
      </c>
      <c r="GW2" t="inlineStr">
        <is>
          <t>가을감자:10a당 생산량 (kg)</t>
        </is>
      </c>
      <c r="GX2" t="inlineStr">
        <is>
          <t>가을감자:생산량 (톤)</t>
        </is>
      </c>
      <c r="GY2" t="inlineStr">
        <is>
          <t>합계:면적 (ha)</t>
        </is>
      </c>
      <c r="GZ2" t="inlineStr">
        <is>
          <t>합계:생산량 (톤)</t>
        </is>
      </c>
      <c r="HA2" t="inlineStr">
        <is>
          <t>고구마:면적 (ha)</t>
        </is>
      </c>
      <c r="HB2" t="inlineStr">
        <is>
          <t>고구마:10a당 생산량 (kg)</t>
        </is>
      </c>
      <c r="HC2" t="inlineStr">
        <is>
          <t>고구마:생산량 (톤)</t>
        </is>
      </c>
      <c r="HD2" t="inlineStr">
        <is>
          <t>감자:면적 (ha)</t>
        </is>
      </c>
      <c r="HE2" t="inlineStr">
        <is>
          <t>감자:10a당 생산량 (kg)</t>
        </is>
      </c>
      <c r="HF2" t="inlineStr">
        <is>
          <t>감자:생산량 (톤)</t>
        </is>
      </c>
      <c r="HG2" t="inlineStr">
        <is>
          <t>일반봄감자:면적 (ha)</t>
        </is>
      </c>
      <c r="HH2" t="inlineStr">
        <is>
          <t>일반봄감자:10a당 생산량 (kg)</t>
        </is>
      </c>
      <c r="HI2" t="inlineStr">
        <is>
          <t>일반봄감자:생산량 (톤)</t>
        </is>
      </c>
      <c r="HJ2" t="inlineStr">
        <is>
          <t>고랭지감자:면적 (ha)</t>
        </is>
      </c>
      <c r="HK2" t="inlineStr">
        <is>
          <t>고랭지감자:10a당 생산량 (kg)</t>
        </is>
      </c>
      <c r="HL2" t="inlineStr">
        <is>
          <t>고랭지감자:생산량 (톤)</t>
        </is>
      </c>
      <c r="HM2" t="inlineStr">
        <is>
          <t>가을감자:면적 (ha)</t>
        </is>
      </c>
      <c r="HN2" t="inlineStr">
        <is>
          <t>가을감자:10a당 생산량 (kg)</t>
        </is>
      </c>
      <c r="HO2" t="inlineStr">
        <is>
          <t>가을감자:생산량 (톤)</t>
        </is>
      </c>
      <c r="HP2" t="inlineStr">
        <is>
          <t>합계:면적 (ha)</t>
        </is>
      </c>
      <c r="HQ2" t="inlineStr">
        <is>
          <t>합계:생산량 (톤)</t>
        </is>
      </c>
      <c r="HR2" t="inlineStr">
        <is>
          <t>고구마:면적 (ha)</t>
        </is>
      </c>
      <c r="HS2" t="inlineStr">
        <is>
          <t>고구마:10a당 생산량 (kg)</t>
        </is>
      </c>
      <c r="HT2" t="inlineStr">
        <is>
          <t>고구마:생산량 (톤)</t>
        </is>
      </c>
      <c r="HU2" t="inlineStr">
        <is>
          <t>감자:면적 (ha)</t>
        </is>
      </c>
      <c r="HV2" t="inlineStr">
        <is>
          <t>감자:10a당 생산량 (kg)</t>
        </is>
      </c>
      <c r="HW2" t="inlineStr">
        <is>
          <t>감자:생산량 (톤)</t>
        </is>
      </c>
      <c r="HX2" t="inlineStr">
        <is>
          <t>일반봄감자:면적 (ha)</t>
        </is>
      </c>
      <c r="HY2" t="inlineStr">
        <is>
          <t>일반봄감자:10a당 생산량 (kg)</t>
        </is>
      </c>
      <c r="HZ2" t="inlineStr">
        <is>
          <t>일반봄감자:생산량 (톤)</t>
        </is>
      </c>
      <c r="IA2" t="inlineStr">
        <is>
          <t>고랭지감자:면적 (ha)</t>
        </is>
      </c>
      <c r="IB2" t="inlineStr">
        <is>
          <t>고랭지감자:10a당 생산량 (kg)</t>
        </is>
      </c>
      <c r="IC2" t="inlineStr">
        <is>
          <t>고랭지감자:생산량 (톤)</t>
        </is>
      </c>
      <c r="ID2" t="inlineStr">
        <is>
          <t>가을감자:면적 (ha)</t>
        </is>
      </c>
      <c r="IE2" t="inlineStr">
        <is>
          <t>가을감자:10a당 생산량 (kg)</t>
        </is>
      </c>
      <c r="IF2" t="inlineStr">
        <is>
          <t>가을감자:생산량 (톤)</t>
        </is>
      </c>
      <c r="IG2" t="inlineStr">
        <is>
          <t>합계:면적 (ha)</t>
        </is>
      </c>
      <c r="IH2" t="inlineStr">
        <is>
          <t>합계:생산량 (톤)</t>
        </is>
      </c>
      <c r="II2" t="inlineStr">
        <is>
          <t>고구마:면적 (ha)</t>
        </is>
      </c>
      <c r="IJ2" t="inlineStr">
        <is>
          <t>고구마:10a당 생산량 (kg)</t>
        </is>
      </c>
      <c r="IK2" t="inlineStr">
        <is>
          <t>고구마:생산량 (톤)</t>
        </is>
      </c>
      <c r="IL2" t="inlineStr">
        <is>
          <t>감자:면적 (ha)</t>
        </is>
      </c>
      <c r="IM2" t="inlineStr">
        <is>
          <t>감자:10a당 생산량 (kg)</t>
        </is>
      </c>
      <c r="IN2" t="inlineStr">
        <is>
          <t>감자:생산량 (톤)</t>
        </is>
      </c>
      <c r="IO2" t="inlineStr">
        <is>
          <t>일반봄감자:면적 (ha)</t>
        </is>
      </c>
      <c r="IP2" t="inlineStr">
        <is>
          <t>일반봄감자:10a당 생산량 (kg)</t>
        </is>
      </c>
      <c r="IQ2" t="inlineStr">
        <is>
          <t>일반봄감자:생산량 (톤)</t>
        </is>
      </c>
      <c r="IR2" t="inlineStr">
        <is>
          <t>고랭지감자:면적 (ha)</t>
        </is>
      </c>
      <c r="IS2" t="inlineStr">
        <is>
          <t>고랭지감자:10a당 생산량 (kg)</t>
        </is>
      </c>
      <c r="IT2" t="inlineStr">
        <is>
          <t>고랭지감자:생산량 (톤)</t>
        </is>
      </c>
      <c r="IU2" t="inlineStr">
        <is>
          <t>가을감자:면적 (ha)</t>
        </is>
      </c>
      <c r="IV2" t="inlineStr">
        <is>
          <t>가을감자:10a당 생산량 (kg)</t>
        </is>
      </c>
      <c r="IW2" t="inlineStr">
        <is>
          <t>가을감자:생산량 (톤)</t>
        </is>
      </c>
      <c r="IX2" t="inlineStr">
        <is>
          <t>합계:면적 (ha)</t>
        </is>
      </c>
      <c r="IY2" t="inlineStr">
        <is>
          <t>합계:생산량 (톤)</t>
        </is>
      </c>
      <c r="IZ2" t="inlineStr">
        <is>
          <t>고구마:면적 (ha)</t>
        </is>
      </c>
      <c r="JA2" t="inlineStr">
        <is>
          <t>고구마:10a당 생산량 (kg)</t>
        </is>
      </c>
      <c r="JB2" t="inlineStr">
        <is>
          <t>고구마:생산량 (톤)</t>
        </is>
      </c>
      <c r="JC2" t="inlineStr">
        <is>
          <t>감자:면적 (ha)</t>
        </is>
      </c>
      <c r="JD2" t="inlineStr">
        <is>
          <t>감자:10a당 생산량 (kg)</t>
        </is>
      </c>
      <c r="JE2" t="inlineStr">
        <is>
          <t>감자:생산량 (톤)</t>
        </is>
      </c>
      <c r="JF2" t="inlineStr">
        <is>
          <t>일반봄감자:면적 (ha)</t>
        </is>
      </c>
      <c r="JG2" t="inlineStr">
        <is>
          <t>일반봄감자:10a당 생산량 (kg)</t>
        </is>
      </c>
      <c r="JH2" t="inlineStr">
        <is>
          <t>일반봄감자:생산량 (톤)</t>
        </is>
      </c>
      <c r="JI2" t="inlineStr">
        <is>
          <t>고랭지감자:면적 (ha)</t>
        </is>
      </c>
      <c r="JJ2" t="inlineStr">
        <is>
          <t>고랭지감자:10a당 생산량 (kg)</t>
        </is>
      </c>
      <c r="JK2" t="inlineStr">
        <is>
          <t>고랭지감자:생산량 (톤)</t>
        </is>
      </c>
      <c r="JL2" t="inlineStr">
        <is>
          <t>가을감자:면적 (ha)</t>
        </is>
      </c>
      <c r="JM2" t="inlineStr">
        <is>
          <t>가을감자:10a당 생산량 (kg)</t>
        </is>
      </c>
      <c r="JN2" t="inlineStr">
        <is>
          <t>가을감자:생산량 (톤)</t>
        </is>
      </c>
      <c r="JO2" t="inlineStr">
        <is>
          <t>합계:면적 (ha)</t>
        </is>
      </c>
      <c r="JP2" t="inlineStr">
        <is>
          <t>합계:생산량 (톤)</t>
        </is>
      </c>
      <c r="JQ2" t="inlineStr">
        <is>
          <t>고구마:면적 (ha)</t>
        </is>
      </c>
      <c r="JR2" t="inlineStr">
        <is>
          <t>고구마:10a당 생산량 (kg)</t>
        </is>
      </c>
      <c r="JS2" t="inlineStr">
        <is>
          <t>고구마:생산량 (톤)</t>
        </is>
      </c>
      <c r="JT2" t="inlineStr">
        <is>
          <t>감자:면적 (ha)</t>
        </is>
      </c>
      <c r="JU2" t="inlineStr">
        <is>
          <t>감자:10a당 생산량 (kg)</t>
        </is>
      </c>
      <c r="JV2" t="inlineStr">
        <is>
          <t>감자:생산량 (톤)</t>
        </is>
      </c>
      <c r="JW2" t="inlineStr">
        <is>
          <t>일반봄감자:면적 (ha)</t>
        </is>
      </c>
      <c r="JX2" t="inlineStr">
        <is>
          <t>일반봄감자:10a당 생산량 (kg)</t>
        </is>
      </c>
      <c r="JY2" t="inlineStr">
        <is>
          <t>일반봄감자:생산량 (톤)</t>
        </is>
      </c>
      <c r="JZ2" t="inlineStr">
        <is>
          <t>고랭지감자:면적 (ha)</t>
        </is>
      </c>
      <c r="KA2" t="inlineStr">
        <is>
          <t>고랭지감자:10a당 생산량 (kg)</t>
        </is>
      </c>
      <c r="KB2" t="inlineStr">
        <is>
          <t>고랭지감자:생산량 (톤)</t>
        </is>
      </c>
      <c r="KC2" t="inlineStr">
        <is>
          <t>가을감자:면적 (ha)</t>
        </is>
      </c>
      <c r="KD2" t="inlineStr">
        <is>
          <t>가을감자:10a당 생산량 (kg)</t>
        </is>
      </c>
      <c r="KE2" t="inlineStr">
        <is>
          <t>가을감자:생산량 (톤)</t>
        </is>
      </c>
      <c r="KF2" t="inlineStr">
        <is>
          <t>합계:면적 (ha)</t>
        </is>
      </c>
      <c r="KG2" t="inlineStr">
        <is>
          <t>합계:생산량 (톤)</t>
        </is>
      </c>
      <c r="KH2" t="inlineStr">
        <is>
          <t>고구마:면적 (ha)</t>
        </is>
      </c>
      <c r="KI2" t="inlineStr">
        <is>
          <t>고구마:10a당 생산량 (kg)</t>
        </is>
      </c>
      <c r="KJ2" t="inlineStr">
        <is>
          <t>고구마:생산량 (톤)</t>
        </is>
      </c>
      <c r="KK2" t="inlineStr">
        <is>
          <t>감자:면적 (ha)</t>
        </is>
      </c>
      <c r="KL2" t="inlineStr">
        <is>
          <t>감자:10a당 생산량 (kg)</t>
        </is>
      </c>
      <c r="KM2" t="inlineStr">
        <is>
          <t>감자:생산량 (톤)</t>
        </is>
      </c>
      <c r="KN2" t="inlineStr">
        <is>
          <t>일반봄감자:면적 (ha)</t>
        </is>
      </c>
      <c r="KO2" t="inlineStr">
        <is>
          <t>일반봄감자:10a당 생산량 (kg)</t>
        </is>
      </c>
      <c r="KP2" t="inlineStr">
        <is>
          <t>일반봄감자:생산량 (톤)</t>
        </is>
      </c>
      <c r="KQ2" t="inlineStr">
        <is>
          <t>고랭지감자:면적 (ha)</t>
        </is>
      </c>
      <c r="KR2" t="inlineStr">
        <is>
          <t>고랭지감자:10a당 생산량 (kg)</t>
        </is>
      </c>
      <c r="KS2" t="inlineStr">
        <is>
          <t>고랭지감자:생산량 (톤)</t>
        </is>
      </c>
      <c r="KT2" t="inlineStr">
        <is>
          <t>가을감자:면적 (ha)</t>
        </is>
      </c>
      <c r="KU2" t="inlineStr">
        <is>
          <t>가을감자:10a당 생산량 (kg)</t>
        </is>
      </c>
      <c r="KV2" t="inlineStr">
        <is>
          <t>가을감자:생산량 (톤)</t>
        </is>
      </c>
      <c r="KW2" t="inlineStr">
        <is>
          <t>합계:면적 (ha)</t>
        </is>
      </c>
      <c r="KX2" t="inlineStr">
        <is>
          <t>합계:생산량 (톤)</t>
        </is>
      </c>
      <c r="KY2" t="inlineStr">
        <is>
          <t>고구마:면적 (ha)</t>
        </is>
      </c>
      <c r="KZ2" t="inlineStr">
        <is>
          <t>고구마:10a당 생산량 (kg)</t>
        </is>
      </c>
      <c r="LA2" t="inlineStr">
        <is>
          <t>고구마:생산량 (톤)</t>
        </is>
      </c>
      <c r="LB2" t="inlineStr">
        <is>
          <t>감자:면적 (ha)</t>
        </is>
      </c>
      <c r="LC2" t="inlineStr">
        <is>
          <t>감자:10a당 생산량 (kg)</t>
        </is>
      </c>
      <c r="LD2" t="inlineStr">
        <is>
          <t>감자:생산량 (톤)</t>
        </is>
      </c>
      <c r="LE2" t="inlineStr">
        <is>
          <t>일반봄감자:면적 (ha)</t>
        </is>
      </c>
      <c r="LF2" t="inlineStr">
        <is>
          <t>일반봄감자:10a당 생산량 (kg)</t>
        </is>
      </c>
      <c r="LG2" t="inlineStr">
        <is>
          <t>일반봄감자:생산량 (톤)</t>
        </is>
      </c>
      <c r="LH2" t="inlineStr">
        <is>
          <t>고랭지감자:면적 (ha)</t>
        </is>
      </c>
      <c r="LI2" t="inlineStr">
        <is>
          <t>고랭지감자:10a당 생산량 (kg)</t>
        </is>
      </c>
      <c r="LJ2" t="inlineStr">
        <is>
          <t>고랭지감자:생산량 (톤)</t>
        </is>
      </c>
      <c r="LK2" t="inlineStr">
        <is>
          <t>가을감자:면적 (ha)</t>
        </is>
      </c>
      <c r="LL2" t="inlineStr">
        <is>
          <t>가을감자:10a당 생산량 (kg)</t>
        </is>
      </c>
      <c r="LM2" t="inlineStr">
        <is>
          <t>가을감자:생산량 (톤)</t>
        </is>
      </c>
      <c r="LN2" t="inlineStr">
        <is>
          <t>합계:면적 (ha)</t>
        </is>
      </c>
      <c r="LO2" t="inlineStr">
        <is>
          <t>합계:생산량 (톤)</t>
        </is>
      </c>
      <c r="LP2" t="inlineStr">
        <is>
          <t>고구마:면적 (ha)</t>
        </is>
      </c>
      <c r="LQ2" t="inlineStr">
        <is>
          <t>고구마:10a당 생산량 (kg)</t>
        </is>
      </c>
      <c r="LR2" t="inlineStr">
        <is>
          <t>고구마:생산량 (톤)</t>
        </is>
      </c>
      <c r="LS2" t="inlineStr">
        <is>
          <t>감자:면적 (ha)</t>
        </is>
      </c>
      <c r="LT2" t="inlineStr">
        <is>
          <t>감자:10a당 생산량 (kg)</t>
        </is>
      </c>
      <c r="LU2" t="inlineStr">
        <is>
          <t>감자:생산량 (톤)</t>
        </is>
      </c>
      <c r="LV2" t="inlineStr">
        <is>
          <t>일반봄감자:면적 (ha)</t>
        </is>
      </c>
      <c r="LW2" t="inlineStr">
        <is>
          <t>일반봄감자:10a당 생산량 (kg)</t>
        </is>
      </c>
      <c r="LX2" t="inlineStr">
        <is>
          <t>일반봄감자:생산량 (톤)</t>
        </is>
      </c>
      <c r="LY2" t="inlineStr">
        <is>
          <t>고랭지감자:면적 (ha)</t>
        </is>
      </c>
      <c r="LZ2" t="inlineStr">
        <is>
          <t>고랭지감자:10a당 생산량 (kg)</t>
        </is>
      </c>
      <c r="MA2" t="inlineStr">
        <is>
          <t>고랭지감자:생산량 (톤)</t>
        </is>
      </c>
      <c r="MB2" t="inlineStr">
        <is>
          <t>가을감자:면적 (ha)</t>
        </is>
      </c>
      <c r="MC2" t="inlineStr">
        <is>
          <t>가을감자:10a당 생산량 (kg)</t>
        </is>
      </c>
      <c r="MD2" t="inlineStr">
        <is>
          <t>가을감자:생산량 (톤)</t>
        </is>
      </c>
      <c r="ME2" t="inlineStr">
        <is>
          <t>합계:면적 (ha)</t>
        </is>
      </c>
      <c r="MF2" t="inlineStr">
        <is>
          <t>합계:생산량 (톤)</t>
        </is>
      </c>
      <c r="MG2" t="inlineStr">
        <is>
          <t>고구마:면적 (ha)</t>
        </is>
      </c>
      <c r="MH2" t="inlineStr">
        <is>
          <t>고구마:10a당 생산량 (kg)</t>
        </is>
      </c>
      <c r="MI2" t="inlineStr">
        <is>
          <t>고구마:생산량 (톤)</t>
        </is>
      </c>
      <c r="MJ2" t="inlineStr">
        <is>
          <t>감자:면적 (ha)</t>
        </is>
      </c>
      <c r="MK2" t="inlineStr">
        <is>
          <t>감자:10a당 생산량 (kg)</t>
        </is>
      </c>
      <c r="ML2" t="inlineStr">
        <is>
          <t>감자:생산량 (톤)</t>
        </is>
      </c>
      <c r="MM2" t="inlineStr">
        <is>
          <t>일반봄감자:면적 (ha)</t>
        </is>
      </c>
      <c r="MN2" t="inlineStr">
        <is>
          <t>일반봄감자:10a당 생산량 (kg)</t>
        </is>
      </c>
      <c r="MO2" t="inlineStr">
        <is>
          <t>일반봄감자:생산량 (톤)</t>
        </is>
      </c>
      <c r="MP2" t="inlineStr">
        <is>
          <t>고랭지감자:면적 (ha)</t>
        </is>
      </c>
      <c r="MQ2" t="inlineStr">
        <is>
          <t>고랭지감자:10a당 생산량 (kg)</t>
        </is>
      </c>
      <c r="MR2" t="inlineStr">
        <is>
          <t>고랭지감자:생산량 (톤)</t>
        </is>
      </c>
      <c r="MS2" t="inlineStr">
        <is>
          <t>가을감자:면적 (ha)</t>
        </is>
      </c>
      <c r="MT2" t="inlineStr">
        <is>
          <t>가을감자:10a당 생산량 (kg)</t>
        </is>
      </c>
      <c r="MU2" t="inlineStr">
        <is>
          <t>가을감자:생산량 (톤)</t>
        </is>
      </c>
      <c r="MV2" t="inlineStr">
        <is>
          <t>합계:면적 (ha)</t>
        </is>
      </c>
      <c r="MW2" t="inlineStr">
        <is>
          <t>합계:생산량 (톤)</t>
        </is>
      </c>
      <c r="MX2" t="inlineStr">
        <is>
          <t>고구마:면적 (ha)</t>
        </is>
      </c>
      <c r="MY2" t="inlineStr">
        <is>
          <t>고구마:10a당 생산량 (kg)</t>
        </is>
      </c>
      <c r="MZ2" t="inlineStr">
        <is>
          <t>고구마:생산량 (톤)</t>
        </is>
      </c>
      <c r="NA2" t="inlineStr">
        <is>
          <t>감자:면적 (ha)</t>
        </is>
      </c>
      <c r="NB2" t="inlineStr">
        <is>
          <t>감자:10a당 생산량 (kg)</t>
        </is>
      </c>
      <c r="NC2" t="inlineStr">
        <is>
          <t>감자:생산량 (톤)</t>
        </is>
      </c>
      <c r="ND2" t="inlineStr">
        <is>
          <t>일반봄감자:면적 (ha)</t>
        </is>
      </c>
      <c r="NE2" t="inlineStr">
        <is>
          <t>일반봄감자:10a당 생산량 (kg)</t>
        </is>
      </c>
      <c r="NF2" t="inlineStr">
        <is>
          <t>일반봄감자:생산량 (톤)</t>
        </is>
      </c>
      <c r="NG2" t="inlineStr">
        <is>
          <t>고랭지감자:면적 (ha)</t>
        </is>
      </c>
      <c r="NH2" t="inlineStr">
        <is>
          <t>고랭지감자:10a당 생산량 (kg)</t>
        </is>
      </c>
      <c r="NI2" t="inlineStr">
        <is>
          <t>고랭지감자:생산량 (톤)</t>
        </is>
      </c>
      <c r="NJ2" t="inlineStr">
        <is>
          <t>가을감자:면적 (ha)</t>
        </is>
      </c>
      <c r="NK2" t="inlineStr">
        <is>
          <t>가을감자:10a당 생산량 (kg)</t>
        </is>
      </c>
      <c r="NL2" t="inlineStr">
        <is>
          <t>가을감자:생산량 (톤)</t>
        </is>
      </c>
    </row>
    <row r="3">
      <c r="A3" t="inlineStr">
        <is>
          <t>전국</t>
        </is>
      </c>
      <c r="B3" t="inlineStr">
        <is>
          <t>소계</t>
        </is>
      </c>
      <c r="C3" t="n">
        <v>49906</v>
      </c>
      <c r="D3" t="n">
        <v>1176741</v>
      </c>
      <c r="E3" t="n">
        <v>17178</v>
      </c>
      <c r="F3" t="n">
        <v>1645</v>
      </c>
      <c r="G3" t="n">
        <v>282526</v>
      </c>
      <c r="H3" t="n">
        <v>32728</v>
      </c>
      <c r="I3" t="n">
        <v>2732</v>
      </c>
      <c r="J3" t="n">
        <v>894215</v>
      </c>
      <c r="K3" t="n">
        <v>20035</v>
      </c>
      <c r="L3" t="n">
        <v>2767</v>
      </c>
      <c r="M3" t="n">
        <v>554467</v>
      </c>
      <c r="N3" t="n">
        <v>4385</v>
      </c>
      <c r="O3" t="n">
        <v>3517</v>
      </c>
      <c r="P3" t="n">
        <v>154229</v>
      </c>
      <c r="Q3" t="n">
        <v>8308</v>
      </c>
      <c r="R3" t="n">
        <v>2233</v>
      </c>
      <c r="S3" t="n">
        <v>185519</v>
      </c>
      <c r="T3" t="n">
        <v>40625</v>
      </c>
      <c r="U3" t="n">
        <v>916927</v>
      </c>
      <c r="V3" t="n">
        <v>16668</v>
      </c>
      <c r="W3" t="n">
        <v>1715</v>
      </c>
      <c r="X3" t="n">
        <v>285841</v>
      </c>
      <c r="Y3" t="n">
        <v>23957</v>
      </c>
      <c r="Z3" t="n">
        <v>2634</v>
      </c>
      <c r="AA3" t="n">
        <v>631086</v>
      </c>
      <c r="AB3" t="n">
        <v>14960</v>
      </c>
      <c r="AC3" t="n">
        <v>2799</v>
      </c>
      <c r="AD3" t="n">
        <v>418658</v>
      </c>
      <c r="AE3" t="n">
        <v>3971</v>
      </c>
      <c r="AF3" t="n">
        <v>2404</v>
      </c>
      <c r="AG3" t="n">
        <v>95443</v>
      </c>
      <c r="AH3" t="n">
        <v>5026</v>
      </c>
      <c r="AI3" t="n">
        <v>2328</v>
      </c>
      <c r="AJ3" t="n">
        <v>116985</v>
      </c>
      <c r="AK3" t="n">
        <v>41514</v>
      </c>
      <c r="AL3" t="n">
        <v>926665</v>
      </c>
      <c r="AM3" t="n">
        <v>21093</v>
      </c>
      <c r="AN3" t="n">
        <v>1670</v>
      </c>
      <c r="AO3" t="n">
        <v>352269</v>
      </c>
      <c r="AP3" t="n">
        <v>20421</v>
      </c>
      <c r="AQ3" t="n">
        <v>2813</v>
      </c>
      <c r="AR3" t="n">
        <v>574396</v>
      </c>
      <c r="AS3" t="n">
        <v>13033</v>
      </c>
      <c r="AT3" t="n">
        <v>2818</v>
      </c>
      <c r="AU3" t="n">
        <v>367277</v>
      </c>
      <c r="AV3" t="n">
        <v>3202</v>
      </c>
      <c r="AW3" t="n">
        <v>3516</v>
      </c>
      <c r="AX3" t="n">
        <v>112577</v>
      </c>
      <c r="AY3" t="n">
        <v>4186</v>
      </c>
      <c r="AZ3" t="n">
        <v>2259</v>
      </c>
      <c r="BA3" t="n">
        <v>94542</v>
      </c>
      <c r="BB3" t="n">
        <v>39991</v>
      </c>
      <c r="BC3" t="n">
        <v>933943</v>
      </c>
      <c r="BD3" t="n">
        <v>19451</v>
      </c>
      <c r="BE3" t="n">
        <v>1693</v>
      </c>
      <c r="BF3" t="n">
        <v>329351</v>
      </c>
      <c r="BG3" t="n">
        <v>20540</v>
      </c>
      <c r="BH3" t="n">
        <v>2943</v>
      </c>
      <c r="BI3" t="n">
        <v>604592</v>
      </c>
      <c r="BJ3" t="n">
        <v>13048</v>
      </c>
      <c r="BK3" t="n">
        <v>2930</v>
      </c>
      <c r="BL3" t="n">
        <v>382369</v>
      </c>
      <c r="BM3" t="n">
        <v>3364</v>
      </c>
      <c r="BN3" t="n">
        <v>3650</v>
      </c>
      <c r="BO3" t="n">
        <v>122781</v>
      </c>
      <c r="BP3" t="n">
        <v>4128</v>
      </c>
      <c r="BQ3" t="n">
        <v>2409</v>
      </c>
      <c r="BR3" t="n">
        <v>99442</v>
      </c>
      <c r="BS3" t="n">
        <v>42314</v>
      </c>
      <c r="BT3" t="n">
        <v>941714</v>
      </c>
      <c r="BU3" t="n">
        <v>20918</v>
      </c>
      <c r="BV3" t="n">
        <v>1676</v>
      </c>
      <c r="BW3" t="n">
        <v>350661</v>
      </c>
      <c r="BX3" t="n">
        <v>21396</v>
      </c>
      <c r="BY3" t="n">
        <v>2762</v>
      </c>
      <c r="BZ3" t="n">
        <v>591053</v>
      </c>
      <c r="CA3" t="n">
        <v>14198</v>
      </c>
      <c r="CB3" t="n">
        <v>2778</v>
      </c>
      <c r="CC3" t="n">
        <v>394418</v>
      </c>
      <c r="CD3" t="n">
        <v>3322</v>
      </c>
      <c r="CE3" t="n">
        <v>3487</v>
      </c>
      <c r="CF3" t="n">
        <v>115842</v>
      </c>
      <c r="CG3" t="n">
        <v>3876</v>
      </c>
      <c r="CH3" t="n">
        <v>2084</v>
      </c>
      <c r="CI3" t="n">
        <v>80793</v>
      </c>
      <c r="CJ3" t="n">
        <v>44113</v>
      </c>
      <c r="CK3" t="n">
        <v>915637</v>
      </c>
      <c r="CL3" t="n">
        <v>19200</v>
      </c>
      <c r="CM3" t="n">
        <v>1557</v>
      </c>
      <c r="CN3" t="n">
        <v>298930</v>
      </c>
      <c r="CO3" t="n">
        <v>24913</v>
      </c>
      <c r="CP3" t="n">
        <v>2475</v>
      </c>
      <c r="CQ3" t="n">
        <v>616707</v>
      </c>
      <c r="CR3" t="n">
        <v>16302</v>
      </c>
      <c r="CS3" t="n">
        <v>2415</v>
      </c>
      <c r="CT3" t="n">
        <v>393632</v>
      </c>
      <c r="CU3" t="n">
        <v>3801</v>
      </c>
      <c r="CV3" t="n">
        <v>3668</v>
      </c>
      <c r="CW3" t="n">
        <v>139423</v>
      </c>
      <c r="CX3" t="n">
        <v>4810</v>
      </c>
      <c r="CY3" t="n">
        <v>1739</v>
      </c>
      <c r="CZ3" t="n">
        <v>83652</v>
      </c>
      <c r="DA3" t="n">
        <v>44844</v>
      </c>
      <c r="DB3" t="n">
        <v>877486</v>
      </c>
      <c r="DC3" t="n">
        <v>18040</v>
      </c>
      <c r="DD3" t="n">
        <v>1415</v>
      </c>
      <c r="DE3" t="n">
        <v>255284</v>
      </c>
      <c r="DF3" t="n">
        <v>26804</v>
      </c>
      <c r="DG3" t="n">
        <v>2321</v>
      </c>
      <c r="DH3" t="n">
        <v>622202</v>
      </c>
      <c r="DI3" t="n">
        <v>19126</v>
      </c>
      <c r="DJ3" t="n">
        <v>2392</v>
      </c>
      <c r="DK3" t="n">
        <v>457584</v>
      </c>
      <c r="DL3" t="n">
        <v>3784</v>
      </c>
      <c r="DM3" t="n">
        <v>2509</v>
      </c>
      <c r="DN3" t="n">
        <v>94944</v>
      </c>
      <c r="DO3" t="n">
        <v>3894</v>
      </c>
      <c r="DP3" t="n">
        <v>1789</v>
      </c>
      <c r="DQ3" t="n">
        <v>69674</v>
      </c>
      <c r="DR3" t="n">
        <v>47927</v>
      </c>
      <c r="DS3" t="n">
        <v>950202</v>
      </c>
      <c r="DT3" t="n">
        <v>22997</v>
      </c>
      <c r="DU3" t="n">
        <v>1490</v>
      </c>
      <c r="DV3" t="n">
        <v>342668</v>
      </c>
      <c r="DW3" t="n">
        <v>24930</v>
      </c>
      <c r="DX3" t="n">
        <v>2437</v>
      </c>
      <c r="DY3" t="n">
        <v>607534</v>
      </c>
      <c r="DZ3" t="n">
        <v>17424</v>
      </c>
      <c r="EA3" t="n">
        <v>2396</v>
      </c>
      <c r="EB3" t="n">
        <v>417433</v>
      </c>
      <c r="EC3" t="n">
        <v>3793</v>
      </c>
      <c r="ED3" t="n">
        <v>3332</v>
      </c>
      <c r="EE3" t="n">
        <v>126371</v>
      </c>
      <c r="EF3" t="n">
        <v>3713</v>
      </c>
      <c r="EG3" t="n">
        <v>1716</v>
      </c>
      <c r="EH3" t="n">
        <v>63730</v>
      </c>
      <c r="EI3" t="n">
        <v>49637</v>
      </c>
      <c r="EJ3" t="n">
        <v>1056954</v>
      </c>
      <c r="EK3" t="n">
        <v>22207</v>
      </c>
      <c r="EL3" t="n">
        <v>1484</v>
      </c>
      <c r="EM3" t="n">
        <v>329516</v>
      </c>
      <c r="EN3" t="n">
        <v>27430</v>
      </c>
      <c r="EO3" t="n">
        <v>2652</v>
      </c>
      <c r="EP3" t="n">
        <v>727438</v>
      </c>
      <c r="EQ3" t="n">
        <v>20977</v>
      </c>
      <c r="ER3" t="n">
        <v>2722</v>
      </c>
      <c r="ES3" t="n">
        <v>571024</v>
      </c>
      <c r="ET3" t="n">
        <v>3751</v>
      </c>
      <c r="EU3" t="n">
        <v>2963</v>
      </c>
      <c r="EV3" t="n">
        <v>111125</v>
      </c>
      <c r="EW3" t="n">
        <v>2702</v>
      </c>
      <c r="EX3" t="n">
        <v>1676</v>
      </c>
      <c r="EY3" t="n">
        <v>45289</v>
      </c>
      <c r="EZ3" t="n">
        <v>41987</v>
      </c>
      <c r="FA3" t="n">
        <v>912603</v>
      </c>
      <c r="FB3" t="n">
        <v>20515</v>
      </c>
      <c r="FC3" t="n">
        <v>1570</v>
      </c>
      <c r="FD3" t="n">
        <v>322071</v>
      </c>
      <c r="FE3" t="n">
        <v>21472</v>
      </c>
      <c r="FF3" t="n">
        <v>2750</v>
      </c>
      <c r="FG3" t="n">
        <v>590532</v>
      </c>
      <c r="FH3" t="n">
        <v>15596</v>
      </c>
      <c r="FI3" t="n">
        <v>2772</v>
      </c>
      <c r="FJ3" t="n">
        <v>432342</v>
      </c>
      <c r="FK3" t="n">
        <v>2975</v>
      </c>
      <c r="FL3" t="n">
        <v>3647</v>
      </c>
      <c r="FM3" t="n">
        <v>108500</v>
      </c>
      <c r="FN3" t="n">
        <v>2901</v>
      </c>
      <c r="FO3" t="n">
        <v>1713</v>
      </c>
      <c r="FP3" t="n">
        <v>49690</v>
      </c>
      <c r="FQ3" t="n">
        <v>39591</v>
      </c>
      <c r="FR3" t="n">
        <v>832393</v>
      </c>
      <c r="FS3" t="n">
        <v>19357</v>
      </c>
      <c r="FT3" t="n">
        <v>1522</v>
      </c>
      <c r="FU3" t="n">
        <v>294655</v>
      </c>
      <c r="FV3" t="n">
        <v>20234</v>
      </c>
      <c r="FW3" t="n">
        <v>2658</v>
      </c>
      <c r="FX3" t="n">
        <v>537738</v>
      </c>
      <c r="FY3" t="n">
        <v>14545</v>
      </c>
      <c r="FZ3" t="n">
        <v>2526</v>
      </c>
      <c r="GA3" t="n">
        <v>367363</v>
      </c>
      <c r="GB3" t="n">
        <v>3403</v>
      </c>
      <c r="GC3" t="n">
        <v>3875</v>
      </c>
      <c r="GD3" t="n">
        <v>131867</v>
      </c>
      <c r="GE3" t="n">
        <v>2286</v>
      </c>
      <c r="GF3" t="n">
        <v>1685</v>
      </c>
      <c r="GG3" t="n">
        <v>38508</v>
      </c>
      <c r="GH3" t="n">
        <v>45151</v>
      </c>
      <c r="GI3" t="n">
        <v>896895</v>
      </c>
      <c r="GJ3" t="n">
        <v>23151</v>
      </c>
      <c r="GK3" t="n">
        <v>1474</v>
      </c>
      <c r="GL3" t="n">
        <v>341225</v>
      </c>
      <c r="GM3" t="n">
        <v>22000</v>
      </c>
      <c r="GN3" t="n">
        <v>2526</v>
      </c>
      <c r="GO3" t="n">
        <v>555670</v>
      </c>
      <c r="GP3" t="n">
        <v>15259</v>
      </c>
      <c r="GQ3" t="n">
        <v>2580</v>
      </c>
      <c r="GR3" t="n">
        <v>393670</v>
      </c>
      <c r="GS3" t="n">
        <v>3579</v>
      </c>
      <c r="GT3" t="n">
        <v>3407</v>
      </c>
      <c r="GU3" t="n">
        <v>121927</v>
      </c>
      <c r="GV3" t="n">
        <v>3162</v>
      </c>
      <c r="GW3" t="n">
        <v>1267</v>
      </c>
      <c r="GX3" t="n">
        <v>40073</v>
      </c>
      <c r="GY3" t="n">
        <v>42658</v>
      </c>
      <c r="GZ3" t="n">
        <v>791715</v>
      </c>
      <c r="HA3" t="n">
        <v>21684</v>
      </c>
      <c r="HB3" t="n">
        <v>1499</v>
      </c>
      <c r="HC3" t="n">
        <v>324960</v>
      </c>
      <c r="HD3" t="n">
        <v>20974</v>
      </c>
      <c r="HE3" t="n">
        <v>2225</v>
      </c>
      <c r="HF3" t="n">
        <v>466755</v>
      </c>
      <c r="HG3" t="n">
        <v>14943</v>
      </c>
      <c r="HH3" t="n">
        <v>2152</v>
      </c>
      <c r="HI3" t="n">
        <v>321518</v>
      </c>
      <c r="HJ3" t="n">
        <v>3244</v>
      </c>
      <c r="HK3" t="n">
        <v>3048</v>
      </c>
      <c r="HL3" t="n">
        <v>98895</v>
      </c>
      <c r="HM3" t="n">
        <v>2787</v>
      </c>
      <c r="HN3" t="n">
        <v>1663</v>
      </c>
      <c r="HO3" t="n">
        <v>46342</v>
      </c>
      <c r="HP3" t="n">
        <v>44350</v>
      </c>
      <c r="HQ3" t="n">
        <v>853369</v>
      </c>
      <c r="HR3" t="n">
        <v>20948</v>
      </c>
      <c r="HS3" t="n">
        <v>1457</v>
      </c>
      <c r="HT3" t="n">
        <v>305304</v>
      </c>
      <c r="HU3" t="n">
        <v>23402</v>
      </c>
      <c r="HV3" t="n">
        <v>2342</v>
      </c>
      <c r="HW3" t="n">
        <v>548065</v>
      </c>
      <c r="HX3" t="n">
        <v>15819</v>
      </c>
      <c r="HY3" t="n">
        <v>2435</v>
      </c>
      <c r="HZ3" t="n">
        <v>385244</v>
      </c>
      <c r="IA3" t="n">
        <v>3462</v>
      </c>
      <c r="IB3" t="n">
        <v>2652</v>
      </c>
      <c r="IC3" t="n">
        <v>91811</v>
      </c>
      <c r="ID3" t="n">
        <v>4121</v>
      </c>
      <c r="IE3" t="n">
        <v>1723</v>
      </c>
      <c r="IF3" t="n">
        <v>71010</v>
      </c>
      <c r="IG3" t="n">
        <v>48771</v>
      </c>
      <c r="IH3" t="n">
        <v>1058743</v>
      </c>
      <c r="II3" t="n">
        <v>21941</v>
      </c>
      <c r="IJ3" t="n">
        <v>1679</v>
      </c>
      <c r="IK3" t="n">
        <v>368324</v>
      </c>
      <c r="IL3" t="n">
        <v>26829</v>
      </c>
      <c r="IM3" t="n">
        <v>2573</v>
      </c>
      <c r="IN3" t="n">
        <v>690419</v>
      </c>
      <c r="IO3" t="n">
        <v>18150</v>
      </c>
      <c r="IP3" t="n">
        <v>2567</v>
      </c>
      <c r="IQ3" t="n">
        <v>465948</v>
      </c>
      <c r="IR3" t="n">
        <v>3844</v>
      </c>
      <c r="IS3" t="n">
        <v>3634</v>
      </c>
      <c r="IT3" t="n">
        <v>139676</v>
      </c>
      <c r="IU3" t="n">
        <v>4835</v>
      </c>
      <c r="IV3" t="n">
        <v>1754</v>
      </c>
      <c r="IW3" t="n">
        <v>84794</v>
      </c>
      <c r="IX3" t="n">
        <v>45861</v>
      </c>
      <c r="IY3" t="n">
        <v>883121</v>
      </c>
      <c r="IZ3" t="n">
        <v>22262</v>
      </c>
      <c r="JA3" t="n">
        <v>1482</v>
      </c>
      <c r="JB3" t="n">
        <v>329927</v>
      </c>
      <c r="JC3" t="n">
        <v>23599</v>
      </c>
      <c r="JD3" t="n">
        <v>2344</v>
      </c>
      <c r="JE3" t="n">
        <v>553194</v>
      </c>
      <c r="JF3" t="n">
        <v>16339</v>
      </c>
      <c r="JG3" t="n">
        <v>2303</v>
      </c>
      <c r="JH3" t="n">
        <v>376349</v>
      </c>
      <c r="JI3" t="n">
        <v>3390</v>
      </c>
      <c r="JJ3" t="n">
        <v>3524</v>
      </c>
      <c r="JK3" t="n">
        <v>119441</v>
      </c>
      <c r="JL3" t="n">
        <v>3870</v>
      </c>
      <c r="JM3" t="n">
        <v>1483</v>
      </c>
      <c r="JN3" t="n">
        <v>57405</v>
      </c>
      <c r="JO3" t="n">
        <v>44981</v>
      </c>
      <c r="JP3" t="n">
        <v>903805</v>
      </c>
      <c r="JQ3" t="n">
        <v>23236</v>
      </c>
      <c r="JR3" t="n">
        <v>1502</v>
      </c>
      <c r="JS3" t="n">
        <v>348912</v>
      </c>
      <c r="JT3" t="n">
        <v>21745</v>
      </c>
      <c r="JU3" t="n">
        <v>2552</v>
      </c>
      <c r="JV3" t="n">
        <v>554893</v>
      </c>
      <c r="JW3" t="n">
        <v>14266</v>
      </c>
      <c r="JX3" t="n">
        <v>2661</v>
      </c>
      <c r="JY3" t="n">
        <v>379671</v>
      </c>
      <c r="JZ3" t="n">
        <v>3888</v>
      </c>
      <c r="KA3" t="n">
        <v>3037</v>
      </c>
      <c r="KB3" t="n">
        <v>118084</v>
      </c>
      <c r="KC3" t="n">
        <v>3591</v>
      </c>
      <c r="KD3" t="n">
        <v>1591</v>
      </c>
      <c r="KE3" t="n">
        <v>57137</v>
      </c>
      <c r="KF3" t="n">
        <v>41433</v>
      </c>
      <c r="KG3" t="n">
        <v>817754</v>
      </c>
      <c r="KH3" t="n">
        <v>21345</v>
      </c>
      <c r="KI3" t="n">
        <v>1580</v>
      </c>
      <c r="KJ3" t="n">
        <v>337153</v>
      </c>
      <c r="KK3" t="n">
        <v>20088</v>
      </c>
      <c r="KL3" t="n">
        <v>2392</v>
      </c>
      <c r="KM3" t="n">
        <v>480601</v>
      </c>
      <c r="KN3" t="n">
        <v>13017</v>
      </c>
      <c r="KO3" t="n">
        <v>2329</v>
      </c>
      <c r="KP3" t="n">
        <v>303211</v>
      </c>
      <c r="KQ3" t="n">
        <v>3495</v>
      </c>
      <c r="KR3" t="n">
        <v>3562</v>
      </c>
      <c r="KS3" t="n">
        <v>124484</v>
      </c>
      <c r="KT3" t="n">
        <v>3576</v>
      </c>
      <c r="KU3" t="n">
        <v>1479</v>
      </c>
      <c r="KV3" t="n">
        <v>52906</v>
      </c>
      <c r="KW3" t="n">
        <v>40988</v>
      </c>
      <c r="KX3" t="n">
        <v>850007</v>
      </c>
      <c r="KY3" t="n">
        <v>18463</v>
      </c>
      <c r="KZ3" t="n">
        <v>1623</v>
      </c>
      <c r="LA3" t="n">
        <v>299714</v>
      </c>
      <c r="LB3" t="n">
        <v>22525</v>
      </c>
      <c r="LC3" t="n">
        <v>2443</v>
      </c>
      <c r="LD3" t="n">
        <v>550293</v>
      </c>
      <c r="LE3" t="n">
        <v>14699</v>
      </c>
      <c r="LF3" t="n">
        <v>2436</v>
      </c>
      <c r="LG3" t="n">
        <v>358022</v>
      </c>
      <c r="LH3" t="n">
        <v>3835</v>
      </c>
      <c r="LI3" t="n">
        <v>3304</v>
      </c>
      <c r="LJ3" t="n">
        <v>126702</v>
      </c>
      <c r="LK3" t="n">
        <v>3992</v>
      </c>
      <c r="LL3" t="n">
        <v>1643</v>
      </c>
      <c r="LM3" t="n">
        <v>65568</v>
      </c>
      <c r="LN3" t="n">
        <v>41701</v>
      </c>
      <c r="LO3" t="n">
        <v>898360</v>
      </c>
      <c r="LP3" t="n">
        <v>17732</v>
      </c>
      <c r="LQ3" t="n">
        <v>1722</v>
      </c>
      <c r="LR3" t="n">
        <v>305343</v>
      </c>
      <c r="LS3" t="n">
        <v>23969</v>
      </c>
      <c r="LT3" t="n">
        <v>2474</v>
      </c>
      <c r="LU3" t="n">
        <v>593017</v>
      </c>
      <c r="LV3" t="n">
        <v>15521</v>
      </c>
      <c r="LW3" t="n">
        <v>2562</v>
      </c>
      <c r="LX3" t="n">
        <v>397613</v>
      </c>
      <c r="LY3" t="n">
        <v>3928</v>
      </c>
      <c r="LZ3" t="n">
        <v>3218</v>
      </c>
      <c r="MA3" t="n">
        <v>126399</v>
      </c>
      <c r="MB3" t="n">
        <v>4520</v>
      </c>
      <c r="MC3" t="n">
        <v>1527</v>
      </c>
      <c r="MD3" t="n">
        <v>69005</v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n">
        <v>14927</v>
      </c>
      <c r="MN3" t="n">
        <v>2383</v>
      </c>
      <c r="MO3" t="n">
        <v>355698</v>
      </c>
      <c r="MP3" t="n">
        <v>3605</v>
      </c>
      <c r="MQ3" t="n">
        <v>3171</v>
      </c>
      <c r="MR3" t="n">
        <v>114307</v>
      </c>
      <c r="MS3" t="inlineStr">
        <is>
          <t>-</t>
        </is>
      </c>
      <c r="MT3" t="inlineStr">
        <is>
          <t>-</t>
        </is>
      </c>
      <c r="MU3" t="inlineStr">
        <is>
          <t>-</t>
        </is>
      </c>
      <c r="MV3" t="inlineStr">
        <is>
          <t>-</t>
        </is>
      </c>
      <c r="MW3" t="inlineStr">
        <is>
          <t>-</t>
        </is>
      </c>
      <c r="MX3" t="inlineStr">
        <is>
          <t>-</t>
        </is>
      </c>
      <c r="MY3" t="inlineStr">
        <is>
          <t>-</t>
        </is>
      </c>
      <c r="MZ3" t="inlineStr">
        <is>
          <t>-</t>
        </is>
      </c>
      <c r="NA3" t="inlineStr">
        <is>
          <t>-</t>
        </is>
      </c>
      <c r="NB3" t="inlineStr">
        <is>
          <t>-</t>
        </is>
      </c>
      <c r="NC3" t="inlineStr">
        <is>
          <t>-</t>
        </is>
      </c>
      <c r="ND3" t="n">
        <v>14897</v>
      </c>
      <c r="NE3" t="n">
        <v>2424</v>
      </c>
      <c r="NF3" t="n">
        <v>361167</v>
      </c>
      <c r="NG3" t="inlineStr">
        <is>
          <t>-</t>
        </is>
      </c>
      <c r="NH3" t="inlineStr">
        <is>
          <t>-</t>
        </is>
      </c>
      <c r="NI3" t="inlineStr">
        <is>
          <t>-</t>
        </is>
      </c>
      <c r="NJ3" t="inlineStr">
        <is>
          <t>-</t>
        </is>
      </c>
      <c r="NK3" t="inlineStr">
        <is>
          <t>-</t>
        </is>
      </c>
      <c r="NL3" t="inlineStr">
        <is>
          <t>-</t>
        </is>
      </c>
    </row>
    <row r="4">
      <c r="A4" t="inlineStr">
        <is>
          <t>서울특별시</t>
        </is>
      </c>
      <c r="B4" t="inlineStr">
        <is>
          <t>소계</t>
        </is>
      </c>
      <c r="C4" t="n">
        <v>29</v>
      </c>
      <c r="D4" t="n">
        <v>548</v>
      </c>
      <c r="E4" t="n">
        <v>19</v>
      </c>
      <c r="F4" t="n">
        <v>1590</v>
      </c>
      <c r="G4" t="n">
        <v>302</v>
      </c>
      <c r="H4" t="n">
        <v>10</v>
      </c>
      <c r="I4" t="n">
        <v>2460</v>
      </c>
      <c r="J4" t="n">
        <v>246</v>
      </c>
      <c r="K4" t="n">
        <v>10</v>
      </c>
      <c r="L4" t="n">
        <v>2456</v>
      </c>
      <c r="M4" t="n">
        <v>246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34</v>
      </c>
      <c r="U4" t="n">
        <v>745</v>
      </c>
      <c r="V4" t="n">
        <v>19</v>
      </c>
      <c r="W4" t="n">
        <v>1684</v>
      </c>
      <c r="X4" t="n">
        <v>320</v>
      </c>
      <c r="Y4" t="n">
        <v>15</v>
      </c>
      <c r="Z4" t="n">
        <v>2833</v>
      </c>
      <c r="AA4" t="n">
        <v>425</v>
      </c>
      <c r="AB4" t="n">
        <v>15</v>
      </c>
      <c r="AC4" t="n">
        <v>2831</v>
      </c>
      <c r="AD4" t="n">
        <v>425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34</v>
      </c>
      <c r="AL4" t="n">
        <v>673</v>
      </c>
      <c r="AM4" t="n">
        <v>24</v>
      </c>
      <c r="AN4" t="n">
        <v>1684</v>
      </c>
      <c r="AO4" t="n">
        <v>404</v>
      </c>
      <c r="AP4" t="n">
        <v>10</v>
      </c>
      <c r="AQ4" t="n">
        <v>2690</v>
      </c>
      <c r="AR4" t="n">
        <v>269</v>
      </c>
      <c r="AS4" t="n">
        <v>9</v>
      </c>
      <c r="AT4" t="n">
        <v>2685</v>
      </c>
      <c r="AU4" t="n">
        <v>242</v>
      </c>
      <c r="AV4" t="n">
        <v>0</v>
      </c>
      <c r="AW4" t="n">
        <v>0</v>
      </c>
      <c r="AX4" t="n">
        <v>0</v>
      </c>
      <c r="AY4" t="n">
        <v>1</v>
      </c>
      <c r="AZ4" t="n">
        <v>2700</v>
      </c>
      <c r="BA4" t="n">
        <v>27</v>
      </c>
      <c r="BB4" t="n">
        <v>33</v>
      </c>
      <c r="BC4" t="n">
        <v>719</v>
      </c>
      <c r="BD4" t="n">
        <v>21</v>
      </c>
      <c r="BE4" t="n">
        <v>1782</v>
      </c>
      <c r="BF4" t="n">
        <v>374</v>
      </c>
      <c r="BG4" t="n">
        <v>12</v>
      </c>
      <c r="BH4" t="n">
        <v>2875</v>
      </c>
      <c r="BI4" t="n">
        <v>345</v>
      </c>
      <c r="BJ4" t="n">
        <v>12</v>
      </c>
      <c r="BK4" t="n">
        <v>2872</v>
      </c>
      <c r="BL4" t="n">
        <v>345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32</v>
      </c>
      <c r="BT4" t="n">
        <v>699</v>
      </c>
      <c r="BU4" t="n">
        <v>18</v>
      </c>
      <c r="BV4" t="n">
        <v>1628</v>
      </c>
      <c r="BW4" t="n">
        <v>293</v>
      </c>
      <c r="BX4" t="n">
        <v>14</v>
      </c>
      <c r="BY4" t="n">
        <v>2900</v>
      </c>
      <c r="BZ4" t="n">
        <v>406</v>
      </c>
      <c r="CA4" t="n">
        <v>14</v>
      </c>
      <c r="CB4" t="n">
        <v>2899</v>
      </c>
      <c r="CC4" t="n">
        <v>406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20</v>
      </c>
      <c r="CK4" t="n">
        <v>451</v>
      </c>
      <c r="CL4" t="n">
        <v>7</v>
      </c>
      <c r="CM4" t="n">
        <v>1429</v>
      </c>
      <c r="CN4" t="n">
        <v>100</v>
      </c>
      <c r="CO4" t="n">
        <v>13</v>
      </c>
      <c r="CP4" t="n">
        <v>2700</v>
      </c>
      <c r="CQ4" t="n">
        <v>351</v>
      </c>
      <c r="CR4" t="n">
        <v>12</v>
      </c>
      <c r="CS4" t="n">
        <v>2731</v>
      </c>
      <c r="CT4" t="n">
        <v>328</v>
      </c>
      <c r="CU4" t="n">
        <v>0</v>
      </c>
      <c r="CV4" t="n">
        <v>0</v>
      </c>
      <c r="CW4" t="n">
        <v>0</v>
      </c>
      <c r="CX4" t="n">
        <v>1</v>
      </c>
      <c r="CY4" t="n">
        <v>2253</v>
      </c>
      <c r="CZ4" t="n">
        <v>23</v>
      </c>
      <c r="DA4" t="n">
        <v>28</v>
      </c>
      <c r="DB4" t="n">
        <v>566</v>
      </c>
      <c r="DC4" t="n">
        <v>7</v>
      </c>
      <c r="DD4" t="n">
        <v>1415</v>
      </c>
      <c r="DE4" t="n">
        <v>99</v>
      </c>
      <c r="DF4" t="n">
        <v>21</v>
      </c>
      <c r="DG4" t="n">
        <v>2224</v>
      </c>
      <c r="DH4" t="n">
        <v>467</v>
      </c>
      <c r="DI4" t="n">
        <v>4</v>
      </c>
      <c r="DJ4" t="n">
        <v>2273</v>
      </c>
      <c r="DK4" t="n">
        <v>91</v>
      </c>
      <c r="DL4" t="n">
        <v>0</v>
      </c>
      <c r="DM4" t="n">
        <v>0</v>
      </c>
      <c r="DN4" t="n">
        <v>0</v>
      </c>
      <c r="DO4" t="n">
        <v>17</v>
      </c>
      <c r="DP4" t="n">
        <v>2214</v>
      </c>
      <c r="DQ4" t="n">
        <v>376</v>
      </c>
      <c r="DR4" t="n">
        <v>22</v>
      </c>
      <c r="DS4" t="n">
        <v>352</v>
      </c>
      <c r="DT4" t="n">
        <v>15</v>
      </c>
      <c r="DU4" t="n">
        <v>1414</v>
      </c>
      <c r="DV4" t="n">
        <v>212</v>
      </c>
      <c r="DW4" t="n">
        <v>7</v>
      </c>
      <c r="DX4" t="n">
        <v>2000</v>
      </c>
      <c r="DY4" t="n">
        <v>140</v>
      </c>
      <c r="DZ4" t="n">
        <v>7</v>
      </c>
      <c r="EA4" t="n">
        <v>2004</v>
      </c>
      <c r="EB4" t="n">
        <v>140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35</v>
      </c>
      <c r="EJ4" t="n">
        <v>597</v>
      </c>
      <c r="EK4" t="n">
        <v>27</v>
      </c>
      <c r="EL4" t="n">
        <v>1425</v>
      </c>
      <c r="EM4" t="n">
        <v>385</v>
      </c>
      <c r="EN4" t="n">
        <v>8</v>
      </c>
      <c r="EO4" t="n">
        <v>2650</v>
      </c>
      <c r="EP4" t="n">
        <v>212</v>
      </c>
      <c r="EQ4" t="n">
        <v>8</v>
      </c>
      <c r="ER4" t="n">
        <v>2650</v>
      </c>
      <c r="ES4" t="n">
        <v>212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30</v>
      </c>
      <c r="FA4" t="n">
        <v>531</v>
      </c>
      <c r="FB4" t="n">
        <v>22</v>
      </c>
      <c r="FC4" t="n">
        <v>1420</v>
      </c>
      <c r="FD4" t="n">
        <v>312</v>
      </c>
      <c r="FE4" t="n">
        <v>8</v>
      </c>
      <c r="FF4" t="n">
        <v>2738</v>
      </c>
      <c r="FG4" t="n">
        <v>219</v>
      </c>
      <c r="FH4" t="n">
        <v>7</v>
      </c>
      <c r="FI4" t="n">
        <v>2888</v>
      </c>
      <c r="FJ4" t="n">
        <v>202</v>
      </c>
      <c r="FK4" t="n">
        <v>0</v>
      </c>
      <c r="FL4" t="n">
        <v>0</v>
      </c>
      <c r="FM4" t="n">
        <v>0</v>
      </c>
      <c r="FN4" t="n">
        <v>1</v>
      </c>
      <c r="FO4" t="n">
        <v>1666</v>
      </c>
      <c r="FP4" t="n">
        <v>17</v>
      </c>
      <c r="FQ4" t="n">
        <v>19</v>
      </c>
      <c r="FR4" t="n">
        <v>338</v>
      </c>
      <c r="FS4" t="n">
        <v>13</v>
      </c>
      <c r="FT4" t="n">
        <v>1571</v>
      </c>
      <c r="FU4" t="n">
        <v>204</v>
      </c>
      <c r="FV4" t="n">
        <v>6</v>
      </c>
      <c r="FW4" t="n">
        <v>2233</v>
      </c>
      <c r="FX4" t="n">
        <v>134</v>
      </c>
      <c r="FY4" t="n">
        <v>6</v>
      </c>
      <c r="FZ4" t="n">
        <v>2226</v>
      </c>
      <c r="GA4" t="n">
        <v>134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12</v>
      </c>
      <c r="GI4" t="n">
        <v>259</v>
      </c>
      <c r="GJ4" t="n">
        <v>6</v>
      </c>
      <c r="GK4" t="n">
        <v>1392</v>
      </c>
      <c r="GL4" t="n">
        <v>84</v>
      </c>
      <c r="GM4" t="n">
        <v>6</v>
      </c>
      <c r="GN4" t="n">
        <v>2917</v>
      </c>
      <c r="GO4" t="n">
        <v>175</v>
      </c>
      <c r="GP4" t="n">
        <v>6</v>
      </c>
      <c r="GQ4" t="n">
        <v>2908</v>
      </c>
      <c r="GR4" t="n">
        <v>175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15</v>
      </c>
      <c r="GZ4" t="n">
        <v>216</v>
      </c>
      <c r="HA4" t="n">
        <v>9</v>
      </c>
      <c r="HB4" t="n">
        <v>1210</v>
      </c>
      <c r="HC4" t="n">
        <v>110</v>
      </c>
      <c r="HD4" t="n">
        <v>6</v>
      </c>
      <c r="HE4" t="n">
        <v>1727</v>
      </c>
      <c r="HF4" t="n">
        <v>106</v>
      </c>
      <c r="HG4" t="n">
        <v>6</v>
      </c>
      <c r="HH4" t="n">
        <v>1726</v>
      </c>
      <c r="HI4" t="n">
        <v>105</v>
      </c>
      <c r="HJ4" t="n">
        <v>0</v>
      </c>
      <c r="HK4" t="n">
        <v>0</v>
      </c>
      <c r="HL4" t="n">
        <v>0</v>
      </c>
      <c r="HM4" t="n">
        <v>0</v>
      </c>
      <c r="HN4" t="n">
        <v>1771</v>
      </c>
      <c r="HO4" t="n">
        <v>1</v>
      </c>
      <c r="HP4" t="n">
        <v>12</v>
      </c>
      <c r="HQ4" t="n">
        <v>226</v>
      </c>
      <c r="HR4" t="n">
        <v>6</v>
      </c>
      <c r="HS4" t="n">
        <v>1312</v>
      </c>
      <c r="HT4" t="n">
        <v>78</v>
      </c>
      <c r="HU4" t="n">
        <v>6</v>
      </c>
      <c r="HV4" t="n">
        <v>2439</v>
      </c>
      <c r="HW4" t="n">
        <v>148</v>
      </c>
      <c r="HX4" t="n">
        <v>6</v>
      </c>
      <c r="HY4" t="n">
        <v>2454</v>
      </c>
      <c r="HZ4" t="n">
        <v>148</v>
      </c>
      <c r="IA4" t="n">
        <v>0</v>
      </c>
      <c r="IB4" t="n">
        <v>0</v>
      </c>
      <c r="IC4" t="n">
        <v>0</v>
      </c>
      <c r="ID4" t="n">
        <v>0</v>
      </c>
      <c r="IE4" t="n">
        <v>1458</v>
      </c>
      <c r="IF4" t="n">
        <v>0</v>
      </c>
      <c r="IG4" t="n">
        <v>12</v>
      </c>
      <c r="IH4" t="n">
        <v>228</v>
      </c>
      <c r="II4" t="n">
        <v>7</v>
      </c>
      <c r="IJ4" t="n">
        <v>1455</v>
      </c>
      <c r="IK4" t="n">
        <v>106</v>
      </c>
      <c r="IL4" t="n">
        <v>5</v>
      </c>
      <c r="IM4" t="n">
        <v>2462</v>
      </c>
      <c r="IN4" t="n">
        <v>122</v>
      </c>
      <c r="IO4" t="n">
        <v>5</v>
      </c>
      <c r="IP4" t="n">
        <v>2560</v>
      </c>
      <c r="IQ4" t="n">
        <v>117</v>
      </c>
      <c r="IR4" t="n">
        <v>0</v>
      </c>
      <c r="IS4" t="n">
        <v>0</v>
      </c>
      <c r="IT4" t="n">
        <v>0</v>
      </c>
      <c r="IU4" t="n">
        <v>0</v>
      </c>
      <c r="IV4" t="n">
        <v>1229</v>
      </c>
      <c r="IW4" t="n">
        <v>5</v>
      </c>
      <c r="IX4" t="n">
        <v>13</v>
      </c>
      <c r="IY4" t="n">
        <v>203</v>
      </c>
      <c r="IZ4" t="n">
        <v>6</v>
      </c>
      <c r="JA4" t="n">
        <v>400</v>
      </c>
      <c r="JB4" t="n">
        <v>23</v>
      </c>
      <c r="JC4" t="n">
        <v>7</v>
      </c>
      <c r="JD4" t="n">
        <v>2460</v>
      </c>
      <c r="JE4" t="n">
        <v>180</v>
      </c>
      <c r="JF4" t="n">
        <v>7</v>
      </c>
      <c r="JG4" t="n">
        <v>2485</v>
      </c>
      <c r="JH4" t="n">
        <v>177</v>
      </c>
      <c r="JI4" t="n">
        <v>0</v>
      </c>
      <c r="JJ4" t="n">
        <v>0</v>
      </c>
      <c r="JK4" t="n">
        <v>0</v>
      </c>
      <c r="JL4" t="n">
        <v>0</v>
      </c>
      <c r="JM4" t="n">
        <v>1327</v>
      </c>
      <c r="JN4" t="n">
        <v>3</v>
      </c>
      <c r="JO4" t="n">
        <v>22</v>
      </c>
      <c r="JP4" t="n">
        <v>478</v>
      </c>
      <c r="JQ4" t="n">
        <v>12</v>
      </c>
      <c r="JR4" t="n">
        <v>1282</v>
      </c>
      <c r="JS4" t="n">
        <v>160</v>
      </c>
      <c r="JT4" t="n">
        <v>9</v>
      </c>
      <c r="JU4" t="n">
        <v>3348</v>
      </c>
      <c r="JV4" t="n">
        <v>318</v>
      </c>
      <c r="JW4" t="n">
        <v>9</v>
      </c>
      <c r="JX4" t="n">
        <v>3348</v>
      </c>
      <c r="JY4" t="n">
        <v>318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25</v>
      </c>
      <c r="KG4" t="n">
        <v>428</v>
      </c>
      <c r="KH4" t="n">
        <v>15</v>
      </c>
      <c r="KI4" t="n">
        <v>1648</v>
      </c>
      <c r="KJ4" t="n">
        <v>243</v>
      </c>
      <c r="KK4" t="n">
        <v>10</v>
      </c>
      <c r="KL4" t="n">
        <v>1850</v>
      </c>
      <c r="KM4" t="n">
        <v>185</v>
      </c>
      <c r="KN4" t="n">
        <v>10</v>
      </c>
      <c r="KO4" t="n">
        <v>1857</v>
      </c>
      <c r="KP4" t="n">
        <v>184</v>
      </c>
      <c r="KQ4" t="n">
        <v>0</v>
      </c>
      <c r="KR4" t="n">
        <v>0</v>
      </c>
      <c r="KS4" t="n">
        <v>0</v>
      </c>
      <c r="KT4" t="n">
        <v>0</v>
      </c>
      <c r="KU4" t="n">
        <v>1089</v>
      </c>
      <c r="KV4" t="n">
        <v>1</v>
      </c>
      <c r="KW4" t="n">
        <v>23</v>
      </c>
      <c r="KX4" t="n">
        <v>448</v>
      </c>
      <c r="KY4" t="n">
        <v>11</v>
      </c>
      <c r="KZ4" t="n">
        <v>1407</v>
      </c>
      <c r="LA4" t="n">
        <v>155</v>
      </c>
      <c r="LB4" t="n">
        <v>12</v>
      </c>
      <c r="LC4" t="n">
        <v>2370</v>
      </c>
      <c r="LD4" t="n">
        <v>293</v>
      </c>
      <c r="LE4" t="n">
        <v>12</v>
      </c>
      <c r="LF4" t="n">
        <v>2353</v>
      </c>
      <c r="LG4" t="n">
        <v>283</v>
      </c>
      <c r="LH4" t="n">
        <v>0</v>
      </c>
      <c r="LI4" t="n">
        <v>0</v>
      </c>
      <c r="LJ4" t="n">
        <v>0</v>
      </c>
      <c r="LK4" t="n">
        <v>0</v>
      </c>
      <c r="LL4" t="n">
        <v>2982</v>
      </c>
      <c r="LM4" t="n">
        <v>10</v>
      </c>
      <c r="LN4" t="n">
        <v>28</v>
      </c>
      <c r="LO4" t="n">
        <v>619</v>
      </c>
      <c r="LP4" t="n">
        <v>12</v>
      </c>
      <c r="LQ4" t="n">
        <v>1490</v>
      </c>
      <c r="LR4" t="n">
        <v>180</v>
      </c>
      <c r="LS4" t="n">
        <v>16</v>
      </c>
      <c r="LT4" t="n">
        <v>2690</v>
      </c>
      <c r="LU4" t="n">
        <v>439</v>
      </c>
      <c r="LV4" t="n">
        <v>16</v>
      </c>
      <c r="LW4" t="n">
        <v>2690</v>
      </c>
      <c r="LX4" t="n">
        <v>439</v>
      </c>
      <c r="LY4" t="inlineStr">
        <is>
          <t>-</t>
        </is>
      </c>
      <c r="LZ4" t="inlineStr">
        <is>
          <t>-</t>
        </is>
      </c>
      <c r="MA4" t="inlineStr">
        <is>
          <t>-</t>
        </is>
      </c>
      <c r="MB4" t="inlineStr">
        <is>
          <t>-</t>
        </is>
      </c>
      <c r="MC4" t="inlineStr">
        <is>
          <t>-</t>
        </is>
      </c>
      <c r="MD4" t="inlineStr">
        <is>
          <t>-</t>
        </is>
      </c>
      <c r="ME4" t="inlineStr">
        <is>
          <t>-</t>
        </is>
      </c>
      <c r="MF4" t="inlineStr">
        <is>
          <t>-</t>
        </is>
      </c>
      <c r="MG4" t="inlineStr">
        <is>
          <t>-</t>
        </is>
      </c>
      <c r="MH4" t="inlineStr">
        <is>
          <t>-</t>
        </is>
      </c>
      <c r="MI4" t="inlineStr">
        <is>
          <t>-</t>
        </is>
      </c>
      <c r="MJ4" t="inlineStr">
        <is>
          <t>-</t>
        </is>
      </c>
      <c r="MK4" t="inlineStr">
        <is>
          <t>-</t>
        </is>
      </c>
      <c r="ML4" t="inlineStr">
        <is>
          <t>-</t>
        </is>
      </c>
      <c r="MM4" t="n">
        <v>8</v>
      </c>
      <c r="MN4" t="n">
        <v>3424</v>
      </c>
      <c r="MO4" t="n">
        <v>280</v>
      </c>
      <c r="MP4" t="inlineStr">
        <is>
          <t>-</t>
        </is>
      </c>
      <c r="MQ4" t="inlineStr">
        <is>
          <t>-</t>
        </is>
      </c>
      <c r="MR4" t="inlineStr">
        <is>
          <t>-</t>
        </is>
      </c>
      <c r="MS4" t="inlineStr">
        <is>
          <t>-</t>
        </is>
      </c>
      <c r="MT4" t="inlineStr">
        <is>
          <t>-</t>
        </is>
      </c>
      <c r="MU4" t="inlineStr">
        <is>
          <t>-</t>
        </is>
      </c>
      <c r="MV4" t="inlineStr">
        <is>
          <t>-</t>
        </is>
      </c>
      <c r="MW4" t="inlineStr">
        <is>
          <t>-</t>
        </is>
      </c>
      <c r="MX4" t="inlineStr">
        <is>
          <t>-</t>
        </is>
      </c>
      <c r="MY4" t="inlineStr">
        <is>
          <t>-</t>
        </is>
      </c>
      <c r="MZ4" t="inlineStr">
        <is>
          <t>-</t>
        </is>
      </c>
      <c r="NA4" t="inlineStr">
        <is>
          <t>-</t>
        </is>
      </c>
      <c r="NB4" t="inlineStr">
        <is>
          <t>-</t>
        </is>
      </c>
      <c r="NC4" t="inlineStr">
        <is>
          <t>-</t>
        </is>
      </c>
      <c r="ND4" t="n">
        <v>9</v>
      </c>
      <c r="NE4" t="n">
        <v>2310</v>
      </c>
      <c r="NF4" t="n">
        <v>215</v>
      </c>
      <c r="NG4" t="inlineStr">
        <is>
          <t>-</t>
        </is>
      </c>
      <c r="NH4" t="inlineStr">
        <is>
          <t>-</t>
        </is>
      </c>
      <c r="NI4" t="inlineStr">
        <is>
          <t>-</t>
        </is>
      </c>
      <c r="NJ4" t="inlineStr">
        <is>
          <t>-</t>
        </is>
      </c>
      <c r="NK4" t="inlineStr">
        <is>
          <t>-</t>
        </is>
      </c>
      <c r="NL4" t="inlineStr">
        <is>
          <t>-</t>
        </is>
      </c>
    </row>
    <row r="5">
      <c r="A5" t="inlineStr">
        <is>
          <t>전남광주통합특별시</t>
        </is>
      </c>
      <c r="B5" t="inlineStr">
        <is>
          <t>소계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  <c r="IY5" t="inlineStr">
        <is>
          <t>-</t>
        </is>
      </c>
      <c r="IZ5" t="inlineStr">
        <is>
          <t>-</t>
        </is>
      </c>
      <c r="JA5" t="inlineStr">
        <is>
          <t>-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-</t>
        </is>
      </c>
      <c r="JF5" t="inlineStr">
        <is>
          <t>-</t>
        </is>
      </c>
      <c r="JG5" t="inlineStr">
        <is>
          <t>-</t>
        </is>
      </c>
      <c r="JH5" t="inlineStr">
        <is>
          <t>-</t>
        </is>
      </c>
      <c r="JI5" t="inlineStr">
        <is>
          <t>-</t>
        </is>
      </c>
      <c r="JJ5" t="inlineStr">
        <is>
          <t>-</t>
        </is>
      </c>
      <c r="JK5" t="inlineStr">
        <is>
          <t>-</t>
        </is>
      </c>
      <c r="JL5" t="inlineStr">
        <is>
          <t>-</t>
        </is>
      </c>
      <c r="JM5" t="inlineStr">
        <is>
          <t>-</t>
        </is>
      </c>
      <c r="JN5" t="inlineStr">
        <is>
          <t>-</t>
        </is>
      </c>
      <c r="JO5" t="inlineStr">
        <is>
          <t>-</t>
        </is>
      </c>
      <c r="JP5" t="inlineStr">
        <is>
          <t>-</t>
        </is>
      </c>
      <c r="JQ5" t="inlineStr">
        <is>
          <t>-</t>
        </is>
      </c>
      <c r="JR5" t="inlineStr">
        <is>
          <t>-</t>
        </is>
      </c>
      <c r="JS5" t="inlineStr">
        <is>
          <t>-</t>
        </is>
      </c>
      <c r="JT5" t="inlineStr">
        <is>
          <t>-</t>
        </is>
      </c>
      <c r="JU5" t="inlineStr">
        <is>
          <t>-</t>
        </is>
      </c>
      <c r="JV5" t="inlineStr">
        <is>
          <t>-</t>
        </is>
      </c>
      <c r="JW5" t="inlineStr">
        <is>
          <t>-</t>
        </is>
      </c>
      <c r="JX5" t="inlineStr">
        <is>
          <t>-</t>
        </is>
      </c>
      <c r="JY5" t="inlineStr">
        <is>
          <t>-</t>
        </is>
      </c>
      <c r="JZ5" t="inlineStr">
        <is>
          <t>-</t>
        </is>
      </c>
      <c r="KA5" t="inlineStr">
        <is>
          <t>-</t>
        </is>
      </c>
      <c r="KB5" t="inlineStr">
        <is>
          <t>-</t>
        </is>
      </c>
      <c r="KC5" t="inlineStr">
        <is>
          <t>-</t>
        </is>
      </c>
      <c r="KD5" t="inlineStr">
        <is>
          <t>-</t>
        </is>
      </c>
      <c r="KE5" t="inlineStr">
        <is>
          <t>-</t>
        </is>
      </c>
      <c r="KF5" t="inlineStr">
        <is>
          <t>-</t>
        </is>
      </c>
      <c r="KG5" t="inlineStr">
        <is>
          <t>-</t>
        </is>
      </c>
      <c r="KH5" t="inlineStr">
        <is>
          <t>-</t>
        </is>
      </c>
      <c r="KI5" t="inlineStr">
        <is>
          <t>-</t>
        </is>
      </c>
      <c r="KJ5" t="inlineStr">
        <is>
          <t>-</t>
        </is>
      </c>
      <c r="KK5" t="inlineStr">
        <is>
          <t>-</t>
        </is>
      </c>
      <c r="KL5" t="inlineStr">
        <is>
          <t>-</t>
        </is>
      </c>
      <c r="KM5" t="inlineStr">
        <is>
          <t>-</t>
        </is>
      </c>
      <c r="KN5" t="inlineStr">
        <is>
          <t>-</t>
        </is>
      </c>
      <c r="KO5" t="inlineStr">
        <is>
          <t>-</t>
        </is>
      </c>
      <c r="KP5" t="inlineStr">
        <is>
          <t>-</t>
        </is>
      </c>
      <c r="KQ5" t="inlineStr">
        <is>
          <t>-</t>
        </is>
      </c>
      <c r="KR5" t="inlineStr">
        <is>
          <t>-</t>
        </is>
      </c>
      <c r="KS5" t="inlineStr">
        <is>
          <t>-</t>
        </is>
      </c>
      <c r="KT5" t="inlineStr">
        <is>
          <t>-</t>
        </is>
      </c>
      <c r="KU5" t="inlineStr">
        <is>
          <t>-</t>
        </is>
      </c>
      <c r="KV5" t="inlineStr">
        <is>
          <t>-</t>
        </is>
      </c>
      <c r="KW5" t="inlineStr">
        <is>
          <t>-</t>
        </is>
      </c>
      <c r="KX5" t="inlineStr">
        <is>
          <t>-</t>
        </is>
      </c>
      <c r="KY5" t="inlineStr">
        <is>
          <t>-</t>
        </is>
      </c>
      <c r="KZ5" t="inlineStr">
        <is>
          <t>-</t>
        </is>
      </c>
      <c r="LA5" t="inlineStr">
        <is>
          <t>-</t>
        </is>
      </c>
      <c r="LB5" t="inlineStr">
        <is>
          <t>-</t>
        </is>
      </c>
      <c r="LC5" t="inlineStr">
        <is>
          <t>-</t>
        </is>
      </c>
      <c r="LD5" t="inlineStr">
        <is>
          <t>-</t>
        </is>
      </c>
      <c r="LE5" t="inlineStr">
        <is>
          <t>-</t>
        </is>
      </c>
      <c r="LF5" t="inlineStr">
        <is>
          <t>-</t>
        </is>
      </c>
      <c r="LG5" t="inlineStr">
        <is>
          <t>-</t>
        </is>
      </c>
      <c r="LH5" t="inlineStr">
        <is>
          <t>-</t>
        </is>
      </c>
      <c r="LI5" t="inlineStr">
        <is>
          <t>-</t>
        </is>
      </c>
      <c r="LJ5" t="inlineStr">
        <is>
          <t>-</t>
        </is>
      </c>
      <c r="LK5" t="inlineStr">
        <is>
          <t>-</t>
        </is>
      </c>
      <c r="LL5" t="inlineStr">
        <is>
          <t>-</t>
        </is>
      </c>
      <c r="LM5" t="inlineStr">
        <is>
          <t>-</t>
        </is>
      </c>
      <c r="LN5" t="inlineStr">
        <is>
          <t>-</t>
        </is>
      </c>
      <c r="LO5" t="inlineStr">
        <is>
          <t>-</t>
        </is>
      </c>
      <c r="LP5" t="inlineStr">
        <is>
          <t>-</t>
        </is>
      </c>
      <c r="LQ5" t="inlineStr">
        <is>
          <t>-</t>
        </is>
      </c>
      <c r="LR5" t="inlineStr">
        <is>
          <t>-</t>
        </is>
      </c>
      <c r="LS5" t="inlineStr">
        <is>
          <t>-</t>
        </is>
      </c>
      <c r="LT5" t="inlineStr">
        <is>
          <t>-</t>
        </is>
      </c>
      <c r="LU5" t="inlineStr">
        <is>
          <t>-</t>
        </is>
      </c>
      <c r="LV5" t="inlineStr">
        <is>
          <t>-</t>
        </is>
      </c>
      <c r="LW5" t="inlineStr">
        <is>
          <t>-</t>
        </is>
      </c>
      <c r="LX5" t="inlineStr">
        <is>
          <t>-</t>
        </is>
      </c>
      <c r="LY5" t="inlineStr">
        <is>
          <t>-</t>
        </is>
      </c>
      <c r="LZ5" t="inlineStr">
        <is>
          <t>-</t>
        </is>
      </c>
      <c r="MA5" t="inlineStr">
        <is>
          <t>-</t>
        </is>
      </c>
      <c r="MB5" t="inlineStr">
        <is>
          <t>-</t>
        </is>
      </c>
      <c r="MC5" t="inlineStr">
        <is>
          <t>-</t>
        </is>
      </c>
      <c r="MD5" t="inlineStr">
        <is>
          <t>-</t>
        </is>
      </c>
      <c r="ME5" t="inlineStr">
        <is>
          <t>-</t>
        </is>
      </c>
      <c r="MF5" t="inlineStr">
        <is>
          <t>-</t>
        </is>
      </c>
      <c r="MG5" t="inlineStr">
        <is>
          <t>-</t>
        </is>
      </c>
      <c r="MH5" t="inlineStr">
        <is>
          <t>-</t>
        </is>
      </c>
      <c r="MI5" t="inlineStr">
        <is>
          <t>-</t>
        </is>
      </c>
      <c r="MJ5" t="inlineStr">
        <is>
          <t>-</t>
        </is>
      </c>
      <c r="MK5" t="inlineStr">
        <is>
          <t>-</t>
        </is>
      </c>
      <c r="ML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P5" t="inlineStr">
        <is>
          <t>-</t>
        </is>
      </c>
      <c r="MQ5" t="inlineStr">
        <is>
          <t>-</t>
        </is>
      </c>
      <c r="MR5" t="inlineStr">
        <is>
          <t>-</t>
        </is>
      </c>
      <c r="MS5" t="inlineStr">
        <is>
          <t>-</t>
        </is>
      </c>
      <c r="MT5" t="inlineStr">
        <is>
          <t>-</t>
        </is>
      </c>
      <c r="MU5" t="inlineStr">
        <is>
          <t>-</t>
        </is>
      </c>
      <c r="MV5" t="inlineStr">
        <is>
          <t>-</t>
        </is>
      </c>
      <c r="MW5" t="inlineStr">
        <is>
          <t>-</t>
        </is>
      </c>
      <c r="MX5" t="inlineStr">
        <is>
          <t>-</t>
        </is>
      </c>
      <c r="MY5" t="inlineStr">
        <is>
          <t>-</t>
        </is>
      </c>
      <c r="MZ5" t="inlineStr">
        <is>
          <t>-</t>
        </is>
      </c>
      <c r="NA5" t="inlineStr">
        <is>
          <t>-</t>
        </is>
      </c>
      <c r="NB5" t="inlineStr">
        <is>
          <t>-</t>
        </is>
      </c>
      <c r="NC5" t="inlineStr">
        <is>
          <t>-</t>
        </is>
      </c>
      <c r="ND5" t="n">
        <v>2216</v>
      </c>
      <c r="NE5" t="n">
        <v>2555</v>
      </c>
      <c r="NF5" t="n">
        <v>56623</v>
      </c>
      <c r="NG5" t="inlineStr">
        <is>
          <t>-</t>
        </is>
      </c>
      <c r="NH5" t="inlineStr">
        <is>
          <t>-</t>
        </is>
      </c>
      <c r="NI5" t="inlineStr">
        <is>
          <t>-</t>
        </is>
      </c>
      <c r="NJ5" t="inlineStr">
        <is>
          <t>-</t>
        </is>
      </c>
      <c r="NK5" t="inlineStr">
        <is>
          <t>-</t>
        </is>
      </c>
      <c r="NL5" t="inlineStr">
        <is>
          <t>-</t>
        </is>
      </c>
    </row>
    <row r="6">
      <c r="A6" t="inlineStr">
        <is>
          <t>전남광주통합특별시</t>
        </is>
      </c>
      <c r="B6" t="inlineStr">
        <is>
          <t>광주광역시</t>
        </is>
      </c>
      <c r="C6" t="n">
        <v>200</v>
      </c>
      <c r="D6" t="n">
        <v>4770</v>
      </c>
      <c r="E6" t="n">
        <v>136</v>
      </c>
      <c r="F6" t="n">
        <v>2203</v>
      </c>
      <c r="G6" t="n">
        <v>2996</v>
      </c>
      <c r="H6" t="n">
        <v>64</v>
      </c>
      <c r="I6" t="n">
        <v>2772</v>
      </c>
      <c r="J6" t="n">
        <v>1774</v>
      </c>
      <c r="K6" t="n">
        <v>30</v>
      </c>
      <c r="L6" t="n">
        <v>2772</v>
      </c>
      <c r="M6" t="n">
        <v>832</v>
      </c>
      <c r="N6" t="n">
        <v>0</v>
      </c>
      <c r="O6" t="n">
        <v>0</v>
      </c>
      <c r="P6" t="n">
        <v>0</v>
      </c>
      <c r="Q6" t="n">
        <v>34</v>
      </c>
      <c r="R6" t="n">
        <v>2771</v>
      </c>
      <c r="S6" t="n">
        <v>942</v>
      </c>
      <c r="T6" t="n">
        <v>110</v>
      </c>
      <c r="U6" t="n">
        <v>2551</v>
      </c>
      <c r="V6" t="n">
        <v>58</v>
      </c>
      <c r="W6" t="n">
        <v>2193</v>
      </c>
      <c r="X6" t="n">
        <v>1272</v>
      </c>
      <c r="Y6" t="n">
        <v>52</v>
      </c>
      <c r="Z6" t="n">
        <v>2460</v>
      </c>
      <c r="AA6" t="n">
        <v>1279</v>
      </c>
      <c r="AB6" t="n">
        <v>48</v>
      </c>
      <c r="AC6" t="n">
        <v>2456</v>
      </c>
      <c r="AD6" t="n">
        <v>1179</v>
      </c>
      <c r="AE6" t="n">
        <v>0</v>
      </c>
      <c r="AF6" t="n">
        <v>0</v>
      </c>
      <c r="AG6" t="n">
        <v>0</v>
      </c>
      <c r="AH6" t="n">
        <v>4</v>
      </c>
      <c r="AI6" t="n">
        <v>2500</v>
      </c>
      <c r="AJ6" t="n">
        <v>100</v>
      </c>
      <c r="AK6" t="n">
        <v>132</v>
      </c>
      <c r="AL6" t="n">
        <v>3092</v>
      </c>
      <c r="AM6" t="n">
        <v>109</v>
      </c>
      <c r="AN6" t="n">
        <v>2163</v>
      </c>
      <c r="AO6" t="n">
        <v>2358</v>
      </c>
      <c r="AP6" t="n">
        <v>23</v>
      </c>
      <c r="AQ6" t="n">
        <v>3191</v>
      </c>
      <c r="AR6" t="n">
        <v>734</v>
      </c>
      <c r="AS6" t="n">
        <v>14</v>
      </c>
      <c r="AT6" t="n">
        <v>3194</v>
      </c>
      <c r="AU6" t="n">
        <v>447</v>
      </c>
      <c r="AV6" t="n">
        <v>0</v>
      </c>
      <c r="AW6" t="n">
        <v>0</v>
      </c>
      <c r="AX6" t="n">
        <v>0</v>
      </c>
      <c r="AY6" t="n">
        <v>9</v>
      </c>
      <c r="AZ6" t="n">
        <v>3189</v>
      </c>
      <c r="BA6" t="n">
        <v>287</v>
      </c>
      <c r="BB6" t="n">
        <v>133</v>
      </c>
      <c r="BC6" t="n">
        <v>2931</v>
      </c>
      <c r="BD6" t="n">
        <v>123</v>
      </c>
      <c r="BE6" t="n">
        <v>2136</v>
      </c>
      <c r="BF6" t="n">
        <v>2627</v>
      </c>
      <c r="BG6" t="n">
        <v>10</v>
      </c>
      <c r="BH6" t="n">
        <v>3040</v>
      </c>
      <c r="BI6" t="n">
        <v>304</v>
      </c>
      <c r="BJ6" t="n">
        <v>10</v>
      </c>
      <c r="BK6" t="n">
        <v>3036</v>
      </c>
      <c r="BL6" t="n">
        <v>304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150</v>
      </c>
      <c r="BT6" t="n">
        <v>3320</v>
      </c>
      <c r="BU6" t="n">
        <v>103</v>
      </c>
      <c r="BV6" t="n">
        <v>2145</v>
      </c>
      <c r="BW6" t="n">
        <v>2209</v>
      </c>
      <c r="BX6" t="n">
        <v>47</v>
      </c>
      <c r="BY6" t="n">
        <v>2364</v>
      </c>
      <c r="BZ6" t="n">
        <v>1111</v>
      </c>
      <c r="CA6" t="n">
        <v>32</v>
      </c>
      <c r="CB6" t="n">
        <v>2351</v>
      </c>
      <c r="CC6" t="n">
        <v>752</v>
      </c>
      <c r="CD6" t="n">
        <v>0</v>
      </c>
      <c r="CE6" t="n">
        <v>0</v>
      </c>
      <c r="CF6" t="n">
        <v>0</v>
      </c>
      <c r="CG6" t="n">
        <v>15</v>
      </c>
      <c r="CH6" t="n">
        <v>2393</v>
      </c>
      <c r="CI6" t="n">
        <v>359</v>
      </c>
      <c r="CJ6" t="n">
        <v>132</v>
      </c>
      <c r="CK6" t="n">
        <v>3006</v>
      </c>
      <c r="CL6" t="n">
        <v>78</v>
      </c>
      <c r="CM6" t="n">
        <v>2151</v>
      </c>
      <c r="CN6" t="n">
        <v>1678</v>
      </c>
      <c r="CO6" t="n">
        <v>54</v>
      </c>
      <c r="CP6" t="n">
        <v>2459</v>
      </c>
      <c r="CQ6" t="n">
        <v>1328</v>
      </c>
      <c r="CR6" t="n">
        <v>54</v>
      </c>
      <c r="CS6" t="n">
        <v>2459</v>
      </c>
      <c r="CT6" t="n">
        <v>1328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129</v>
      </c>
      <c r="DB6" t="n">
        <v>2632</v>
      </c>
      <c r="DC6" t="n">
        <v>92</v>
      </c>
      <c r="DD6" t="n">
        <v>2144</v>
      </c>
      <c r="DE6" t="n">
        <v>1972</v>
      </c>
      <c r="DF6" t="n">
        <v>37</v>
      </c>
      <c r="DG6" t="n">
        <v>1784</v>
      </c>
      <c r="DH6" t="n">
        <v>660</v>
      </c>
      <c r="DI6" t="n">
        <v>28</v>
      </c>
      <c r="DJ6" t="n">
        <v>1758</v>
      </c>
      <c r="DK6" t="n">
        <v>492</v>
      </c>
      <c r="DL6" t="n">
        <v>0</v>
      </c>
      <c r="DM6" t="n">
        <v>0</v>
      </c>
      <c r="DN6" t="n">
        <v>0</v>
      </c>
      <c r="DO6" t="n">
        <v>9</v>
      </c>
      <c r="DP6" t="n">
        <v>1868</v>
      </c>
      <c r="DQ6" t="n">
        <v>168</v>
      </c>
      <c r="DR6" t="n">
        <v>187</v>
      </c>
      <c r="DS6" t="n">
        <v>3896</v>
      </c>
      <c r="DT6" t="n">
        <v>167</v>
      </c>
      <c r="DU6" t="n">
        <v>2110</v>
      </c>
      <c r="DV6" t="n">
        <v>3524</v>
      </c>
      <c r="DW6" t="n">
        <v>20</v>
      </c>
      <c r="DX6" t="n">
        <v>1860</v>
      </c>
      <c r="DY6" t="n">
        <v>372</v>
      </c>
      <c r="DZ6" t="n">
        <v>20</v>
      </c>
      <c r="EA6" t="n">
        <v>1861</v>
      </c>
      <c r="EB6" t="n">
        <v>372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196</v>
      </c>
      <c r="EJ6" t="n">
        <v>3620</v>
      </c>
      <c r="EK6" t="n">
        <v>121</v>
      </c>
      <c r="EL6" t="n">
        <v>1867</v>
      </c>
      <c r="EM6" t="n">
        <v>2259</v>
      </c>
      <c r="EN6" t="n">
        <v>75</v>
      </c>
      <c r="EO6" t="n">
        <v>1815</v>
      </c>
      <c r="EP6" t="n">
        <v>1361</v>
      </c>
      <c r="EQ6" t="n">
        <v>70</v>
      </c>
      <c r="ER6" t="n">
        <v>1814</v>
      </c>
      <c r="ES6" t="n">
        <v>1270</v>
      </c>
      <c r="ET6" t="n">
        <v>0</v>
      </c>
      <c r="EU6" t="n">
        <v>0</v>
      </c>
      <c r="EV6" t="n">
        <v>0</v>
      </c>
      <c r="EW6" t="n">
        <v>5</v>
      </c>
      <c r="EX6" t="n">
        <v>1818</v>
      </c>
      <c r="EY6" t="n">
        <v>91</v>
      </c>
      <c r="EZ6" t="n">
        <v>161</v>
      </c>
      <c r="FA6" t="n">
        <v>3217</v>
      </c>
      <c r="FB6" t="n">
        <v>109</v>
      </c>
      <c r="FC6" t="n">
        <v>2078</v>
      </c>
      <c r="FD6" t="n">
        <v>2265</v>
      </c>
      <c r="FE6" t="n">
        <v>52</v>
      </c>
      <c r="FF6" t="n">
        <v>1831</v>
      </c>
      <c r="FG6" t="n">
        <v>952</v>
      </c>
      <c r="FH6" t="n">
        <v>52</v>
      </c>
      <c r="FI6" t="n">
        <v>1830</v>
      </c>
      <c r="FJ6" t="n">
        <v>952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83</v>
      </c>
      <c r="FR6" t="n">
        <v>1433</v>
      </c>
      <c r="FS6" t="n">
        <v>67</v>
      </c>
      <c r="FT6" t="n">
        <v>1721</v>
      </c>
      <c r="FU6" t="n">
        <v>1153</v>
      </c>
      <c r="FV6" t="n">
        <v>16</v>
      </c>
      <c r="FW6" t="n">
        <v>1750</v>
      </c>
      <c r="FX6" t="n">
        <v>280</v>
      </c>
      <c r="FY6" t="n">
        <v>14</v>
      </c>
      <c r="FZ6" t="n">
        <v>1762</v>
      </c>
      <c r="GA6" t="n">
        <v>247</v>
      </c>
      <c r="GB6" t="n">
        <v>0</v>
      </c>
      <c r="GC6" t="n">
        <v>0</v>
      </c>
      <c r="GD6" t="n">
        <v>0</v>
      </c>
      <c r="GE6" t="n">
        <v>2</v>
      </c>
      <c r="GF6" t="n">
        <v>1642</v>
      </c>
      <c r="GG6" t="n">
        <v>33</v>
      </c>
      <c r="GH6" t="n">
        <v>143</v>
      </c>
      <c r="GI6" t="n">
        <v>2946</v>
      </c>
      <c r="GJ6" t="n">
        <v>82</v>
      </c>
      <c r="GK6" t="n">
        <v>1914</v>
      </c>
      <c r="GL6" t="n">
        <v>1569</v>
      </c>
      <c r="GM6" t="n">
        <v>61</v>
      </c>
      <c r="GN6" t="n">
        <v>2257</v>
      </c>
      <c r="GO6" t="n">
        <v>1377</v>
      </c>
      <c r="GP6" t="n">
        <v>61</v>
      </c>
      <c r="GQ6" t="n">
        <v>2257</v>
      </c>
      <c r="GR6" t="n">
        <v>1377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176</v>
      </c>
      <c r="GZ6" t="n">
        <v>3333</v>
      </c>
      <c r="HA6" t="n">
        <v>91</v>
      </c>
      <c r="HB6" t="n">
        <v>1613</v>
      </c>
      <c r="HC6" t="n">
        <v>1475</v>
      </c>
      <c r="HD6" t="n">
        <v>84</v>
      </c>
      <c r="HE6" t="n">
        <v>2208</v>
      </c>
      <c r="HF6" t="n">
        <v>1858</v>
      </c>
      <c r="HG6" t="n">
        <v>82</v>
      </c>
      <c r="HH6" t="n">
        <v>2219</v>
      </c>
      <c r="HI6" t="n">
        <v>1816</v>
      </c>
      <c r="HJ6" t="n">
        <v>0</v>
      </c>
      <c r="HK6" t="n">
        <v>0</v>
      </c>
      <c r="HL6" t="n">
        <v>0</v>
      </c>
      <c r="HM6" t="n">
        <v>2</v>
      </c>
      <c r="HN6" t="n">
        <v>1837</v>
      </c>
      <c r="HO6" t="n">
        <v>42</v>
      </c>
      <c r="HP6" t="n">
        <v>131</v>
      </c>
      <c r="HQ6" t="n">
        <v>2097</v>
      </c>
      <c r="HR6" t="n">
        <v>85</v>
      </c>
      <c r="HS6" t="n">
        <v>1580</v>
      </c>
      <c r="HT6" t="n">
        <v>1348</v>
      </c>
      <c r="HU6" t="n">
        <v>46</v>
      </c>
      <c r="HV6" t="n">
        <v>1646</v>
      </c>
      <c r="HW6" t="n">
        <v>749</v>
      </c>
      <c r="HX6" t="n">
        <v>44</v>
      </c>
      <c r="HY6" t="n">
        <v>1642</v>
      </c>
      <c r="HZ6" t="n">
        <v>719</v>
      </c>
      <c r="IA6" t="n">
        <v>0</v>
      </c>
      <c r="IB6" t="n">
        <v>0</v>
      </c>
      <c r="IC6" t="n">
        <v>0</v>
      </c>
      <c r="ID6" t="n">
        <v>2</v>
      </c>
      <c r="IE6" t="n">
        <v>1720</v>
      </c>
      <c r="IF6" t="n">
        <v>30</v>
      </c>
      <c r="IG6" t="n">
        <v>116</v>
      </c>
      <c r="IH6" t="n">
        <v>1844</v>
      </c>
      <c r="II6" t="n">
        <v>72</v>
      </c>
      <c r="IJ6" t="n">
        <v>1230</v>
      </c>
      <c r="IK6" t="n">
        <v>883</v>
      </c>
      <c r="IL6" t="n">
        <v>44</v>
      </c>
      <c r="IM6" t="n">
        <v>2174</v>
      </c>
      <c r="IN6" t="n">
        <v>961</v>
      </c>
      <c r="IO6" t="n">
        <v>41</v>
      </c>
      <c r="IP6" t="n">
        <v>2232</v>
      </c>
      <c r="IQ6" t="n">
        <v>916</v>
      </c>
      <c r="IR6" t="n">
        <v>0</v>
      </c>
      <c r="IS6" t="n">
        <v>0</v>
      </c>
      <c r="IT6" t="n">
        <v>0</v>
      </c>
      <c r="IU6" t="n">
        <v>3</v>
      </c>
      <c r="IV6" t="n">
        <v>1411</v>
      </c>
      <c r="IW6" t="n">
        <v>45</v>
      </c>
      <c r="IX6" t="n">
        <v>124</v>
      </c>
      <c r="IY6" t="n">
        <v>1916</v>
      </c>
      <c r="IZ6" t="n">
        <v>82</v>
      </c>
      <c r="JA6" t="n">
        <v>1402</v>
      </c>
      <c r="JB6" t="n">
        <v>1147</v>
      </c>
      <c r="JC6" t="n">
        <v>42</v>
      </c>
      <c r="JD6" t="n">
        <v>1842</v>
      </c>
      <c r="JE6" t="n">
        <v>769</v>
      </c>
      <c r="JF6" t="n">
        <v>42</v>
      </c>
      <c r="JG6" t="n">
        <v>1843</v>
      </c>
      <c r="JH6" t="n">
        <v>767</v>
      </c>
      <c r="JI6" t="n">
        <v>0</v>
      </c>
      <c r="JJ6" t="n">
        <v>0</v>
      </c>
      <c r="JK6" t="n">
        <v>0</v>
      </c>
      <c r="JL6" t="n">
        <v>0</v>
      </c>
      <c r="JM6" t="n">
        <v>1403</v>
      </c>
      <c r="JN6" t="n">
        <v>2</v>
      </c>
      <c r="JO6" t="n">
        <v>169</v>
      </c>
      <c r="JP6" t="n">
        <v>2561</v>
      </c>
      <c r="JQ6" t="n">
        <v>132</v>
      </c>
      <c r="JR6" t="n">
        <v>1403</v>
      </c>
      <c r="JS6" t="n">
        <v>1857</v>
      </c>
      <c r="JT6" t="n">
        <v>37</v>
      </c>
      <c r="JU6" t="n">
        <v>1917</v>
      </c>
      <c r="JV6" t="n">
        <v>704</v>
      </c>
      <c r="JW6" t="n">
        <v>30</v>
      </c>
      <c r="JX6" t="n">
        <v>2036</v>
      </c>
      <c r="JY6" t="n">
        <v>608</v>
      </c>
      <c r="JZ6" t="n">
        <v>0</v>
      </c>
      <c r="KA6" t="n">
        <v>0</v>
      </c>
      <c r="KB6" t="n">
        <v>0</v>
      </c>
      <c r="KC6" t="n">
        <v>7</v>
      </c>
      <c r="KD6" t="n">
        <v>1397</v>
      </c>
      <c r="KE6" t="n">
        <v>96</v>
      </c>
      <c r="KF6" t="n">
        <v>112</v>
      </c>
      <c r="KG6" t="n">
        <v>1624</v>
      </c>
      <c r="KH6" t="n">
        <v>89</v>
      </c>
      <c r="KI6" t="n">
        <v>1394</v>
      </c>
      <c r="KJ6" t="n">
        <v>1243</v>
      </c>
      <c r="KK6" t="n">
        <v>23</v>
      </c>
      <c r="KL6" t="n">
        <v>1679</v>
      </c>
      <c r="KM6" t="n">
        <v>381</v>
      </c>
      <c r="KN6" t="n">
        <v>13</v>
      </c>
      <c r="KO6" t="n">
        <v>1899</v>
      </c>
      <c r="KP6" t="n">
        <v>237</v>
      </c>
      <c r="KQ6" t="n">
        <v>0</v>
      </c>
      <c r="KR6" t="n">
        <v>0</v>
      </c>
      <c r="KS6" t="n">
        <v>0</v>
      </c>
      <c r="KT6" t="n">
        <v>10</v>
      </c>
      <c r="KU6" t="n">
        <v>1406</v>
      </c>
      <c r="KV6" t="n">
        <v>144</v>
      </c>
      <c r="KW6" t="n">
        <v>115</v>
      </c>
      <c r="KX6" t="n">
        <v>1795</v>
      </c>
      <c r="KY6" t="n">
        <v>90</v>
      </c>
      <c r="KZ6" t="n">
        <v>1416</v>
      </c>
      <c r="LA6" t="n">
        <v>1275</v>
      </c>
      <c r="LB6" t="n">
        <v>25</v>
      </c>
      <c r="LC6" t="n">
        <v>2099</v>
      </c>
      <c r="LD6" t="n">
        <v>520</v>
      </c>
      <c r="LE6" t="n">
        <v>16</v>
      </c>
      <c r="LF6" t="n">
        <v>2473</v>
      </c>
      <c r="LG6" t="n">
        <v>397</v>
      </c>
      <c r="LH6" t="n">
        <v>0</v>
      </c>
      <c r="LI6" t="n">
        <v>0</v>
      </c>
      <c r="LJ6" t="n">
        <v>0</v>
      </c>
      <c r="LK6" t="n">
        <v>9</v>
      </c>
      <c r="LL6" t="n">
        <v>1412</v>
      </c>
      <c r="LM6" t="n">
        <v>123</v>
      </c>
      <c r="LN6" t="n">
        <v>114</v>
      </c>
      <c r="LO6" t="n">
        <v>1682</v>
      </c>
      <c r="LP6" t="n">
        <v>54</v>
      </c>
      <c r="LQ6" t="n">
        <v>1401</v>
      </c>
      <c r="LR6" t="n">
        <v>762</v>
      </c>
      <c r="LS6" t="n">
        <v>60</v>
      </c>
      <c r="LT6" t="n">
        <v>1539</v>
      </c>
      <c r="LU6" t="n">
        <v>920</v>
      </c>
      <c r="LV6" t="n">
        <v>46</v>
      </c>
      <c r="LW6" t="n">
        <v>1571</v>
      </c>
      <c r="LX6" t="n">
        <v>727</v>
      </c>
      <c r="LY6" t="inlineStr">
        <is>
          <t>-</t>
        </is>
      </c>
      <c r="LZ6" t="inlineStr">
        <is>
          <t>-</t>
        </is>
      </c>
      <c r="MA6" t="inlineStr">
        <is>
          <t>-</t>
        </is>
      </c>
      <c r="MB6" t="n">
        <v>13</v>
      </c>
      <c r="MC6" t="n">
        <v>1432</v>
      </c>
      <c r="MD6" t="n">
        <v>193</v>
      </c>
      <c r="ME6" t="inlineStr">
        <is>
          <t>-</t>
        </is>
      </c>
      <c r="MF6" t="inlineStr">
        <is>
          <t>-</t>
        </is>
      </c>
      <c r="MG6" t="inlineStr">
        <is>
          <t>-</t>
        </is>
      </c>
      <c r="MH6" t="inlineStr">
        <is>
          <t>-</t>
        </is>
      </c>
      <c r="MI6" t="inlineStr">
        <is>
          <t>-</t>
        </is>
      </c>
      <c r="MJ6" t="inlineStr">
        <is>
          <t>-</t>
        </is>
      </c>
      <c r="MK6" t="inlineStr">
        <is>
          <t>-</t>
        </is>
      </c>
      <c r="ML6" t="inlineStr">
        <is>
          <t>-</t>
        </is>
      </c>
      <c r="MM6" t="n">
        <v>13</v>
      </c>
      <c r="MN6" t="n">
        <v>2175</v>
      </c>
      <c r="MO6" t="n">
        <v>290</v>
      </c>
      <c r="MP6" t="inlineStr">
        <is>
          <t>-</t>
        </is>
      </c>
      <c r="MQ6" t="inlineStr">
        <is>
          <t>-</t>
        </is>
      </c>
      <c r="MR6" t="inlineStr">
        <is>
          <t>-</t>
        </is>
      </c>
      <c r="MS6" t="inlineStr">
        <is>
          <t>-</t>
        </is>
      </c>
      <c r="MT6" t="inlineStr">
        <is>
          <t>-</t>
        </is>
      </c>
      <c r="MU6" t="inlineStr">
        <is>
          <t>-</t>
        </is>
      </c>
      <c r="MV6" t="inlineStr">
        <is>
          <t>-</t>
        </is>
      </c>
      <c r="MW6" t="inlineStr">
        <is>
          <t>-</t>
        </is>
      </c>
      <c r="MX6" t="inlineStr">
        <is>
          <t>-</t>
        </is>
      </c>
      <c r="MY6" t="inlineStr">
        <is>
          <t>-</t>
        </is>
      </c>
      <c r="MZ6" t="inlineStr">
        <is>
          <t>-</t>
        </is>
      </c>
      <c r="NA6" t="inlineStr">
        <is>
          <t>-</t>
        </is>
      </c>
      <c r="NB6" t="inlineStr">
        <is>
          <t>-</t>
        </is>
      </c>
      <c r="NC6" t="inlineStr">
        <is>
          <t>-</t>
        </is>
      </c>
      <c r="ND6" t="n">
        <v>59</v>
      </c>
      <c r="NE6" t="n">
        <v>2515</v>
      </c>
      <c r="NF6" t="n">
        <v>1473</v>
      </c>
      <c r="NG6" t="inlineStr">
        <is>
          <t>-</t>
        </is>
      </c>
      <c r="NH6" t="inlineStr">
        <is>
          <t>-</t>
        </is>
      </c>
      <c r="NI6" t="inlineStr">
        <is>
          <t>-</t>
        </is>
      </c>
      <c r="NJ6" t="inlineStr">
        <is>
          <t>-</t>
        </is>
      </c>
      <c r="NK6" t="inlineStr">
        <is>
          <t>-</t>
        </is>
      </c>
      <c r="NL6" t="inlineStr">
        <is>
          <t>-</t>
        </is>
      </c>
    </row>
    <row r="7">
      <c r="A7" t="inlineStr">
        <is>
          <t>전남광주통합특별시</t>
        </is>
      </c>
      <c r="B7" t="inlineStr">
        <is>
          <t>전라남도</t>
        </is>
      </c>
      <c r="C7" t="n">
        <v>7494</v>
      </c>
      <c r="D7" t="n">
        <v>158292</v>
      </c>
      <c r="E7" t="n">
        <v>3475</v>
      </c>
      <c r="F7" t="n">
        <v>1561</v>
      </c>
      <c r="G7" t="n">
        <v>54245</v>
      </c>
      <c r="H7" t="n">
        <v>4019</v>
      </c>
      <c r="I7" t="n">
        <v>2589</v>
      </c>
      <c r="J7" t="n">
        <v>104047</v>
      </c>
      <c r="K7" t="n">
        <v>3193</v>
      </c>
      <c r="L7" t="n">
        <v>2772</v>
      </c>
      <c r="M7" t="n">
        <v>88510</v>
      </c>
      <c r="N7" t="n">
        <v>0</v>
      </c>
      <c r="O7" t="n">
        <v>0</v>
      </c>
      <c r="P7" t="n">
        <v>0</v>
      </c>
      <c r="Q7" t="n">
        <v>826</v>
      </c>
      <c r="R7" t="n">
        <v>1881</v>
      </c>
      <c r="S7" t="n">
        <v>15537</v>
      </c>
      <c r="T7" t="n">
        <v>5894</v>
      </c>
      <c r="U7" t="n">
        <v>128512</v>
      </c>
      <c r="V7" t="n">
        <v>3542</v>
      </c>
      <c r="W7" t="n">
        <v>1876</v>
      </c>
      <c r="X7" t="n">
        <v>66448</v>
      </c>
      <c r="Y7" t="n">
        <v>2352</v>
      </c>
      <c r="Z7" t="n">
        <v>2639</v>
      </c>
      <c r="AA7" t="n">
        <v>62064</v>
      </c>
      <c r="AB7" t="n">
        <v>2062</v>
      </c>
      <c r="AC7" t="n">
        <v>2737</v>
      </c>
      <c r="AD7" t="n">
        <v>56441</v>
      </c>
      <c r="AE7" t="n">
        <v>0</v>
      </c>
      <c r="AF7" t="n">
        <v>0</v>
      </c>
      <c r="AG7" t="n">
        <v>0</v>
      </c>
      <c r="AH7" t="n">
        <v>290</v>
      </c>
      <c r="AI7" t="n">
        <v>1939</v>
      </c>
      <c r="AJ7" t="n">
        <v>5623</v>
      </c>
      <c r="AK7" t="n">
        <v>6437</v>
      </c>
      <c r="AL7" t="n">
        <v>136906</v>
      </c>
      <c r="AM7" t="n">
        <v>4629</v>
      </c>
      <c r="AN7" t="n">
        <v>1783</v>
      </c>
      <c r="AO7" t="n">
        <v>82535</v>
      </c>
      <c r="AP7" t="n">
        <v>1808</v>
      </c>
      <c r="AQ7" t="n">
        <v>3007</v>
      </c>
      <c r="AR7" t="n">
        <v>54371</v>
      </c>
      <c r="AS7" t="n">
        <v>1518</v>
      </c>
      <c r="AT7" t="n">
        <v>3194</v>
      </c>
      <c r="AU7" t="n">
        <v>48487</v>
      </c>
      <c r="AV7" t="n">
        <v>0</v>
      </c>
      <c r="AW7" t="n">
        <v>0</v>
      </c>
      <c r="AX7" t="n">
        <v>0</v>
      </c>
      <c r="AY7" t="n">
        <v>290</v>
      </c>
      <c r="AZ7" t="n">
        <v>2029</v>
      </c>
      <c r="BA7" t="n">
        <v>5884</v>
      </c>
      <c r="BB7" t="n">
        <v>5664</v>
      </c>
      <c r="BC7" t="n">
        <v>120255</v>
      </c>
      <c r="BD7" t="n">
        <v>3834</v>
      </c>
      <c r="BE7" t="n">
        <v>1744</v>
      </c>
      <c r="BF7" t="n">
        <v>66865</v>
      </c>
      <c r="BG7" t="n">
        <v>1830</v>
      </c>
      <c r="BH7" t="n">
        <v>2917</v>
      </c>
      <c r="BI7" t="n">
        <v>53390</v>
      </c>
      <c r="BJ7" t="n">
        <v>1537</v>
      </c>
      <c r="BK7" t="n">
        <v>3036</v>
      </c>
      <c r="BL7" t="n">
        <v>46669</v>
      </c>
      <c r="BM7" t="n">
        <v>0</v>
      </c>
      <c r="BN7" t="n">
        <v>0</v>
      </c>
      <c r="BO7" t="n">
        <v>0</v>
      </c>
      <c r="BP7" t="n">
        <v>293</v>
      </c>
      <c r="BQ7" t="n">
        <v>2294</v>
      </c>
      <c r="BR7" t="n">
        <v>6721</v>
      </c>
      <c r="BS7" t="n">
        <v>6216</v>
      </c>
      <c r="BT7" t="n">
        <v>132499</v>
      </c>
      <c r="BU7" t="n">
        <v>4280</v>
      </c>
      <c r="BV7" t="n">
        <v>1829</v>
      </c>
      <c r="BW7" t="n">
        <v>78281</v>
      </c>
      <c r="BX7" t="n">
        <v>1936</v>
      </c>
      <c r="BY7" t="n">
        <v>2801</v>
      </c>
      <c r="BZ7" t="n">
        <v>54218</v>
      </c>
      <c r="CA7" t="n">
        <v>1613</v>
      </c>
      <c r="CB7" t="n">
        <v>2900</v>
      </c>
      <c r="CC7" t="n">
        <v>46779</v>
      </c>
      <c r="CD7" t="n">
        <v>0</v>
      </c>
      <c r="CE7" t="n">
        <v>0</v>
      </c>
      <c r="CF7" t="n">
        <v>0</v>
      </c>
      <c r="CG7" t="n">
        <v>323</v>
      </c>
      <c r="CH7" t="n">
        <v>2303</v>
      </c>
      <c r="CI7" t="n">
        <v>7439</v>
      </c>
      <c r="CJ7" t="n">
        <v>6663</v>
      </c>
      <c r="CK7" t="n">
        <v>133545</v>
      </c>
      <c r="CL7" t="n">
        <v>3981</v>
      </c>
      <c r="CM7" t="n">
        <v>1876</v>
      </c>
      <c r="CN7" t="n">
        <v>74684</v>
      </c>
      <c r="CO7" t="n">
        <v>2682</v>
      </c>
      <c r="CP7" t="n">
        <v>2195</v>
      </c>
      <c r="CQ7" t="n">
        <v>58861</v>
      </c>
      <c r="CR7" t="n">
        <v>2137</v>
      </c>
      <c r="CS7" t="n">
        <v>2246</v>
      </c>
      <c r="CT7" t="n">
        <v>47994</v>
      </c>
      <c r="CU7" t="n">
        <v>0</v>
      </c>
      <c r="CV7" t="n">
        <v>0</v>
      </c>
      <c r="CW7" t="n">
        <v>0</v>
      </c>
      <c r="CX7" t="n">
        <v>545</v>
      </c>
      <c r="CY7" t="n">
        <v>1994</v>
      </c>
      <c r="CZ7" t="n">
        <v>10867</v>
      </c>
      <c r="DA7" t="n">
        <v>6350</v>
      </c>
      <c r="DB7" t="n">
        <v>125149</v>
      </c>
      <c r="DC7" t="n">
        <v>3818</v>
      </c>
      <c r="DD7" t="n">
        <v>1838</v>
      </c>
      <c r="DE7" t="n">
        <v>70175</v>
      </c>
      <c r="DF7" t="n">
        <v>2532</v>
      </c>
      <c r="DG7" t="n">
        <v>2171</v>
      </c>
      <c r="DH7" t="n">
        <v>54974</v>
      </c>
      <c r="DI7" t="n">
        <v>2042</v>
      </c>
      <c r="DJ7" t="n">
        <v>2251</v>
      </c>
      <c r="DK7" t="n">
        <v>45963</v>
      </c>
      <c r="DL7" t="n">
        <v>0</v>
      </c>
      <c r="DM7" t="n">
        <v>0</v>
      </c>
      <c r="DN7" t="n">
        <v>0</v>
      </c>
      <c r="DO7" t="n">
        <v>490</v>
      </c>
      <c r="DP7" t="n">
        <v>1839</v>
      </c>
      <c r="DQ7" t="n">
        <v>9011</v>
      </c>
      <c r="DR7" t="n">
        <v>6989</v>
      </c>
      <c r="DS7" t="n">
        <v>134824</v>
      </c>
      <c r="DT7" t="n">
        <v>4626</v>
      </c>
      <c r="DU7" t="n">
        <v>1792</v>
      </c>
      <c r="DV7" t="n">
        <v>82898</v>
      </c>
      <c r="DW7" t="n">
        <v>2363</v>
      </c>
      <c r="DX7" t="n">
        <v>2197</v>
      </c>
      <c r="DY7" t="n">
        <v>51926</v>
      </c>
      <c r="DZ7" t="n">
        <v>2051</v>
      </c>
      <c r="EA7" t="n">
        <v>2244</v>
      </c>
      <c r="EB7" t="n">
        <v>46035</v>
      </c>
      <c r="EC7" t="n">
        <v>0</v>
      </c>
      <c r="ED7" t="n">
        <v>0</v>
      </c>
      <c r="EE7" t="n">
        <v>0</v>
      </c>
      <c r="EF7" t="n">
        <v>312</v>
      </c>
      <c r="EG7" t="n">
        <v>1888</v>
      </c>
      <c r="EH7" t="n">
        <v>5891</v>
      </c>
      <c r="EI7" t="n">
        <v>7361</v>
      </c>
      <c r="EJ7" t="n">
        <v>144068</v>
      </c>
      <c r="EK7" t="n">
        <v>4727</v>
      </c>
      <c r="EL7" t="n">
        <v>1544</v>
      </c>
      <c r="EM7" t="n">
        <v>72985</v>
      </c>
      <c r="EN7" t="n">
        <v>2634</v>
      </c>
      <c r="EO7" t="n">
        <v>2699</v>
      </c>
      <c r="EP7" t="n">
        <v>71083</v>
      </c>
      <c r="EQ7" t="n">
        <v>2293</v>
      </c>
      <c r="ER7" t="n">
        <v>2830</v>
      </c>
      <c r="ES7" t="n">
        <v>64884</v>
      </c>
      <c r="ET7" t="n">
        <v>0</v>
      </c>
      <c r="EU7" t="n">
        <v>0</v>
      </c>
      <c r="EV7" t="n">
        <v>0</v>
      </c>
      <c r="EW7" t="n">
        <v>341</v>
      </c>
      <c r="EX7" t="n">
        <v>1818</v>
      </c>
      <c r="EY7" t="n">
        <v>6199</v>
      </c>
      <c r="EZ7" t="n">
        <v>6647</v>
      </c>
      <c r="FA7" t="n">
        <v>136351</v>
      </c>
      <c r="FB7" t="n">
        <v>4214</v>
      </c>
      <c r="FC7" t="n">
        <v>1750</v>
      </c>
      <c r="FD7" t="n">
        <v>73745</v>
      </c>
      <c r="FE7" t="n">
        <v>2433</v>
      </c>
      <c r="FF7" t="n">
        <v>2573</v>
      </c>
      <c r="FG7" t="n">
        <v>62606</v>
      </c>
      <c r="FH7" t="n">
        <v>2226</v>
      </c>
      <c r="FI7" t="n">
        <v>2639</v>
      </c>
      <c r="FJ7" t="n">
        <v>58754</v>
      </c>
      <c r="FK7" t="n">
        <v>0</v>
      </c>
      <c r="FL7" t="n">
        <v>0</v>
      </c>
      <c r="FM7" t="n">
        <v>0</v>
      </c>
      <c r="FN7" t="n">
        <v>207</v>
      </c>
      <c r="FO7" t="n">
        <v>1861</v>
      </c>
      <c r="FP7" t="n">
        <v>3852</v>
      </c>
      <c r="FQ7" t="n">
        <v>6574</v>
      </c>
      <c r="FR7" t="n">
        <v>132017</v>
      </c>
      <c r="FS7" t="n">
        <v>4315</v>
      </c>
      <c r="FT7" t="n">
        <v>1733</v>
      </c>
      <c r="FU7" t="n">
        <v>74779</v>
      </c>
      <c r="FV7" t="n">
        <v>2259</v>
      </c>
      <c r="FW7" t="n">
        <v>2534</v>
      </c>
      <c r="FX7" t="n">
        <v>57238</v>
      </c>
      <c r="FY7" t="n">
        <v>1942</v>
      </c>
      <c r="FZ7" t="n">
        <v>2619</v>
      </c>
      <c r="GA7" t="n">
        <v>50869</v>
      </c>
      <c r="GB7" t="n">
        <v>0</v>
      </c>
      <c r="GC7" t="n">
        <v>0</v>
      </c>
      <c r="GD7" t="n">
        <v>0</v>
      </c>
      <c r="GE7" t="n">
        <v>317</v>
      </c>
      <c r="GF7" t="n">
        <v>2009</v>
      </c>
      <c r="GG7" t="n">
        <v>6369</v>
      </c>
      <c r="GH7" t="n">
        <v>7557</v>
      </c>
      <c r="GI7" t="n">
        <v>135077</v>
      </c>
      <c r="GJ7" t="n">
        <v>5391</v>
      </c>
      <c r="GK7" t="n">
        <v>1546</v>
      </c>
      <c r="GL7" t="n">
        <v>83345</v>
      </c>
      <c r="GM7" t="n">
        <v>2166</v>
      </c>
      <c r="GN7" t="n">
        <v>2388</v>
      </c>
      <c r="GO7" t="n">
        <v>51732</v>
      </c>
      <c r="GP7" t="n">
        <v>1855</v>
      </c>
      <c r="GQ7" t="n">
        <v>2489</v>
      </c>
      <c r="GR7" t="n">
        <v>46165</v>
      </c>
      <c r="GS7" t="n">
        <v>0</v>
      </c>
      <c r="GT7" t="n">
        <v>0</v>
      </c>
      <c r="GU7" t="n">
        <v>0</v>
      </c>
      <c r="GV7" t="n">
        <v>311</v>
      </c>
      <c r="GW7" t="n">
        <v>1790</v>
      </c>
      <c r="GX7" t="n">
        <v>5567</v>
      </c>
      <c r="GY7" t="n">
        <v>7007</v>
      </c>
      <c r="GZ7" t="n">
        <v>133952</v>
      </c>
      <c r="HA7" t="n">
        <v>4884</v>
      </c>
      <c r="HB7" t="n">
        <v>1775</v>
      </c>
      <c r="HC7" t="n">
        <v>86685</v>
      </c>
      <c r="HD7" t="n">
        <v>2123</v>
      </c>
      <c r="HE7" t="n">
        <v>2226</v>
      </c>
      <c r="HF7" t="n">
        <v>47267</v>
      </c>
      <c r="HG7" t="n">
        <v>1845</v>
      </c>
      <c r="HH7" t="n">
        <v>2285</v>
      </c>
      <c r="HI7" t="n">
        <v>42156</v>
      </c>
      <c r="HJ7" t="n">
        <v>0</v>
      </c>
      <c r="HK7" t="n">
        <v>0</v>
      </c>
      <c r="HL7" t="n">
        <v>0</v>
      </c>
      <c r="HM7" t="n">
        <v>278</v>
      </c>
      <c r="HN7" t="n">
        <v>1837</v>
      </c>
      <c r="HO7" t="n">
        <v>5111</v>
      </c>
      <c r="HP7" t="n">
        <v>7865</v>
      </c>
      <c r="HQ7" t="n">
        <v>155713</v>
      </c>
      <c r="HR7" t="n">
        <v>5114</v>
      </c>
      <c r="HS7" t="n">
        <v>1855</v>
      </c>
      <c r="HT7" t="n">
        <v>94862</v>
      </c>
      <c r="HU7" t="n">
        <v>2751</v>
      </c>
      <c r="HV7" t="n">
        <v>2212</v>
      </c>
      <c r="HW7" t="n">
        <v>60851</v>
      </c>
      <c r="HX7" t="n">
        <v>2062</v>
      </c>
      <c r="HY7" t="n">
        <v>2376</v>
      </c>
      <c r="HZ7" t="n">
        <v>48992</v>
      </c>
      <c r="IA7" t="n">
        <v>0</v>
      </c>
      <c r="IB7" t="n">
        <v>0</v>
      </c>
      <c r="IC7" t="n">
        <v>0</v>
      </c>
      <c r="ID7" t="n">
        <v>689</v>
      </c>
      <c r="IE7" t="n">
        <v>1720</v>
      </c>
      <c r="IF7" t="n">
        <v>11859</v>
      </c>
      <c r="IG7" t="n">
        <v>8777</v>
      </c>
      <c r="IH7" t="n">
        <v>226364</v>
      </c>
      <c r="II7" t="n">
        <v>5572</v>
      </c>
      <c r="IJ7" t="n">
        <v>2477</v>
      </c>
      <c r="IK7" t="n">
        <v>138011</v>
      </c>
      <c r="IL7" t="n">
        <v>3205</v>
      </c>
      <c r="IM7" t="n">
        <v>2757</v>
      </c>
      <c r="IN7" t="n">
        <v>88353</v>
      </c>
      <c r="IO7" t="n">
        <v>2273</v>
      </c>
      <c r="IP7" t="n">
        <v>2691</v>
      </c>
      <c r="IQ7" t="n">
        <v>61173</v>
      </c>
      <c r="IR7" t="n">
        <v>0</v>
      </c>
      <c r="IS7" t="n">
        <v>0</v>
      </c>
      <c r="IT7" t="n">
        <v>0</v>
      </c>
      <c r="IU7" t="n">
        <v>932</v>
      </c>
      <c r="IV7" t="n">
        <v>2916</v>
      </c>
      <c r="IW7" t="n">
        <v>27180</v>
      </c>
      <c r="IX7" t="n">
        <v>8428</v>
      </c>
      <c r="IY7" t="n">
        <v>156044</v>
      </c>
      <c r="IZ7" t="n">
        <v>5640</v>
      </c>
      <c r="JA7" t="n">
        <v>1731</v>
      </c>
      <c r="JB7" t="n">
        <v>97635</v>
      </c>
      <c r="JC7" t="n">
        <v>2788</v>
      </c>
      <c r="JD7" t="n">
        <v>2095</v>
      </c>
      <c r="JE7" t="n">
        <v>58409</v>
      </c>
      <c r="JF7" t="n">
        <v>2331</v>
      </c>
      <c r="JG7" t="n">
        <v>2257</v>
      </c>
      <c r="JH7" t="n">
        <v>52603</v>
      </c>
      <c r="JI7" t="n">
        <v>0</v>
      </c>
      <c r="JJ7" t="n">
        <v>0</v>
      </c>
      <c r="JK7" t="n">
        <v>0</v>
      </c>
      <c r="JL7" t="n">
        <v>457</v>
      </c>
      <c r="JM7" t="n">
        <v>1270</v>
      </c>
      <c r="JN7" t="n">
        <v>5806</v>
      </c>
      <c r="JO7" t="n">
        <v>8444</v>
      </c>
      <c r="JP7" t="n">
        <v>158498</v>
      </c>
      <c r="JQ7" t="n">
        <v>6215</v>
      </c>
      <c r="JR7" t="n">
        <v>1739</v>
      </c>
      <c r="JS7" t="n">
        <v>108081</v>
      </c>
      <c r="JT7" t="n">
        <v>2229</v>
      </c>
      <c r="JU7" t="n">
        <v>2262</v>
      </c>
      <c r="JV7" t="n">
        <v>50417</v>
      </c>
      <c r="JW7" t="n">
        <v>1850</v>
      </c>
      <c r="JX7" t="n">
        <v>2369</v>
      </c>
      <c r="JY7" t="n">
        <v>43828</v>
      </c>
      <c r="JZ7" t="n">
        <v>0</v>
      </c>
      <c r="KA7" t="n">
        <v>0</v>
      </c>
      <c r="KB7" t="n">
        <v>0</v>
      </c>
      <c r="KC7" t="n">
        <v>379</v>
      </c>
      <c r="KD7" t="n">
        <v>1740</v>
      </c>
      <c r="KE7" t="n">
        <v>6589</v>
      </c>
      <c r="KF7" t="n">
        <v>8753</v>
      </c>
      <c r="KG7" t="n">
        <v>165400</v>
      </c>
      <c r="KH7" t="n">
        <v>6155</v>
      </c>
      <c r="KI7" t="n">
        <v>1772</v>
      </c>
      <c r="KJ7" t="n">
        <v>109065</v>
      </c>
      <c r="KK7" t="n">
        <v>2598</v>
      </c>
      <c r="KL7" t="n">
        <v>2169</v>
      </c>
      <c r="KM7" t="n">
        <v>56335</v>
      </c>
      <c r="KN7" t="n">
        <v>2050</v>
      </c>
      <c r="KO7" t="n">
        <v>2266</v>
      </c>
      <c r="KP7" t="n">
        <v>46461</v>
      </c>
      <c r="KQ7" t="n">
        <v>0</v>
      </c>
      <c r="KR7" t="n">
        <v>0</v>
      </c>
      <c r="KS7" t="n">
        <v>0</v>
      </c>
      <c r="KT7" t="n">
        <v>548</v>
      </c>
      <c r="KU7" t="n">
        <v>1803</v>
      </c>
      <c r="KV7" t="n">
        <v>9874</v>
      </c>
      <c r="KW7" t="n">
        <v>8832</v>
      </c>
      <c r="KX7" t="n">
        <v>186886</v>
      </c>
      <c r="KY7" t="n">
        <v>5532</v>
      </c>
      <c r="KZ7" t="n">
        <v>2126</v>
      </c>
      <c r="LA7" t="n">
        <v>117608</v>
      </c>
      <c r="LB7" t="n">
        <v>3300</v>
      </c>
      <c r="LC7" t="n">
        <v>2099</v>
      </c>
      <c r="LD7" t="n">
        <v>69278</v>
      </c>
      <c r="LE7" t="n">
        <v>2373</v>
      </c>
      <c r="LF7" t="n">
        <v>2263</v>
      </c>
      <c r="LG7" t="n">
        <v>53720</v>
      </c>
      <c r="LH7" t="n">
        <v>0</v>
      </c>
      <c r="LI7" t="n">
        <v>0</v>
      </c>
      <c r="LJ7" t="n">
        <v>0</v>
      </c>
      <c r="LK7" t="n">
        <v>926</v>
      </c>
      <c r="LL7" t="n">
        <v>1679</v>
      </c>
      <c r="LM7" t="n">
        <v>15558</v>
      </c>
      <c r="LN7" t="n">
        <v>8522</v>
      </c>
      <c r="LO7" t="n">
        <v>182649</v>
      </c>
      <c r="LP7" t="n">
        <v>5374</v>
      </c>
      <c r="LQ7" t="n">
        <v>2265</v>
      </c>
      <c r="LR7" t="n">
        <v>121710</v>
      </c>
      <c r="LS7" t="n">
        <v>3149</v>
      </c>
      <c r="LT7" t="n">
        <v>1935</v>
      </c>
      <c r="LU7" t="n">
        <v>60939</v>
      </c>
      <c r="LV7" t="n">
        <v>2219</v>
      </c>
      <c r="LW7" t="n">
        <v>2148</v>
      </c>
      <c r="LX7" t="n">
        <v>47663</v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n">
        <v>930</v>
      </c>
      <c r="MC7" t="n">
        <v>1428</v>
      </c>
      <c r="MD7" t="n">
        <v>13276</v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n">
        <v>1909</v>
      </c>
      <c r="MN7" t="n">
        <v>2197</v>
      </c>
      <c r="MO7" t="n">
        <v>41933</v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-</t>
        </is>
      </c>
      <c r="NC7" t="inlineStr">
        <is>
          <t>-</t>
        </is>
      </c>
      <c r="ND7" t="n">
        <v>2158</v>
      </c>
      <c r="NE7" t="n">
        <v>2556</v>
      </c>
      <c r="NF7" t="n">
        <v>55150</v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</row>
    <row r="8">
      <c r="A8" t="inlineStr">
        <is>
          <t>부산광역시</t>
        </is>
      </c>
      <c r="B8" t="inlineStr">
        <is>
          <t>소계</t>
        </is>
      </c>
      <c r="C8" t="n">
        <v>93</v>
      </c>
      <c r="D8" t="n">
        <v>2129</v>
      </c>
      <c r="E8" t="n">
        <v>33</v>
      </c>
      <c r="F8" t="n">
        <v>1845</v>
      </c>
      <c r="G8" t="n">
        <v>609</v>
      </c>
      <c r="H8" t="n">
        <v>60</v>
      </c>
      <c r="I8" t="n">
        <v>2533</v>
      </c>
      <c r="J8" t="n">
        <v>1520</v>
      </c>
      <c r="K8" t="n">
        <v>22</v>
      </c>
      <c r="L8" t="n">
        <v>2909</v>
      </c>
      <c r="M8" t="n">
        <v>640</v>
      </c>
      <c r="N8" t="n">
        <v>0</v>
      </c>
      <c r="O8" t="n">
        <v>0</v>
      </c>
      <c r="P8" t="n">
        <v>0</v>
      </c>
      <c r="Q8" t="n">
        <v>38</v>
      </c>
      <c r="R8" t="n">
        <v>2316</v>
      </c>
      <c r="S8" t="n">
        <v>880</v>
      </c>
      <c r="T8" t="n">
        <v>62</v>
      </c>
      <c r="U8" t="n">
        <v>1279</v>
      </c>
      <c r="V8" t="n">
        <v>36</v>
      </c>
      <c r="W8" t="n">
        <v>1636</v>
      </c>
      <c r="X8" t="n">
        <v>589</v>
      </c>
      <c r="Y8" t="n">
        <v>26</v>
      </c>
      <c r="Z8" t="n">
        <v>2654</v>
      </c>
      <c r="AA8" t="n">
        <v>690</v>
      </c>
      <c r="AB8" t="n">
        <v>15</v>
      </c>
      <c r="AC8" t="n">
        <v>2656</v>
      </c>
      <c r="AD8" t="n">
        <v>398</v>
      </c>
      <c r="AE8" t="n">
        <v>0</v>
      </c>
      <c r="AF8" t="n">
        <v>0</v>
      </c>
      <c r="AG8" t="n">
        <v>0</v>
      </c>
      <c r="AH8" t="n">
        <v>11</v>
      </c>
      <c r="AI8" t="n">
        <v>2655</v>
      </c>
      <c r="AJ8" t="n">
        <v>292</v>
      </c>
      <c r="AK8" t="n">
        <v>119</v>
      </c>
      <c r="AL8" t="n">
        <v>2684</v>
      </c>
      <c r="AM8" t="n">
        <v>44</v>
      </c>
      <c r="AN8" t="n">
        <v>1573</v>
      </c>
      <c r="AO8" t="n">
        <v>692</v>
      </c>
      <c r="AP8" t="n">
        <v>75</v>
      </c>
      <c r="AQ8" t="n">
        <v>2656</v>
      </c>
      <c r="AR8" t="n">
        <v>1992</v>
      </c>
      <c r="AS8" t="n">
        <v>25</v>
      </c>
      <c r="AT8" t="n">
        <v>2656</v>
      </c>
      <c r="AU8" t="n">
        <v>664</v>
      </c>
      <c r="AV8" t="n">
        <v>0</v>
      </c>
      <c r="AW8" t="n">
        <v>0</v>
      </c>
      <c r="AX8" t="n">
        <v>0</v>
      </c>
      <c r="AY8" t="n">
        <v>50</v>
      </c>
      <c r="AZ8" t="n">
        <v>2656</v>
      </c>
      <c r="BA8" t="n">
        <v>1328</v>
      </c>
      <c r="BB8" t="n">
        <v>95</v>
      </c>
      <c r="BC8" t="n">
        <v>1459</v>
      </c>
      <c r="BD8" t="n">
        <v>71</v>
      </c>
      <c r="BE8" t="n">
        <v>1180</v>
      </c>
      <c r="BF8" t="n">
        <v>838</v>
      </c>
      <c r="BG8" t="n">
        <v>24</v>
      </c>
      <c r="BH8" t="n">
        <v>2588</v>
      </c>
      <c r="BI8" t="n">
        <v>621</v>
      </c>
      <c r="BJ8" t="n">
        <v>19</v>
      </c>
      <c r="BK8" t="n">
        <v>2805</v>
      </c>
      <c r="BL8" t="n">
        <v>533</v>
      </c>
      <c r="BM8" t="n">
        <v>0</v>
      </c>
      <c r="BN8" t="n">
        <v>0</v>
      </c>
      <c r="BO8" t="n">
        <v>0</v>
      </c>
      <c r="BP8" t="n">
        <v>5</v>
      </c>
      <c r="BQ8" t="n">
        <v>1760</v>
      </c>
      <c r="BR8" t="n">
        <v>88</v>
      </c>
      <c r="BS8" t="n">
        <v>76</v>
      </c>
      <c r="BT8" t="n">
        <v>1058</v>
      </c>
      <c r="BU8" t="n">
        <v>61</v>
      </c>
      <c r="BV8" t="n">
        <v>1176</v>
      </c>
      <c r="BW8" t="n">
        <v>717</v>
      </c>
      <c r="BX8" t="n">
        <v>15</v>
      </c>
      <c r="BY8" t="n">
        <v>2273</v>
      </c>
      <c r="BZ8" t="n">
        <v>341</v>
      </c>
      <c r="CA8" t="n">
        <v>11</v>
      </c>
      <c r="CB8" t="n">
        <v>2477</v>
      </c>
      <c r="CC8" t="n">
        <v>272</v>
      </c>
      <c r="CD8" t="n">
        <v>0</v>
      </c>
      <c r="CE8" t="n">
        <v>0</v>
      </c>
      <c r="CF8" t="n">
        <v>0</v>
      </c>
      <c r="CG8" t="n">
        <v>4</v>
      </c>
      <c r="CH8" t="n">
        <v>1731</v>
      </c>
      <c r="CI8" t="n">
        <v>69</v>
      </c>
      <c r="CJ8" t="n">
        <v>89</v>
      </c>
      <c r="CK8" t="n">
        <v>1146</v>
      </c>
      <c r="CL8" t="n">
        <v>77</v>
      </c>
      <c r="CM8" t="n">
        <v>1144</v>
      </c>
      <c r="CN8" t="n">
        <v>881</v>
      </c>
      <c r="CO8" t="n">
        <v>12</v>
      </c>
      <c r="CP8" t="n">
        <v>2208</v>
      </c>
      <c r="CQ8" t="n">
        <v>265</v>
      </c>
      <c r="CR8" t="n">
        <v>12</v>
      </c>
      <c r="CS8" t="n">
        <v>2209</v>
      </c>
      <c r="CT8" t="n">
        <v>265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119</v>
      </c>
      <c r="DB8" t="n">
        <v>1473</v>
      </c>
      <c r="DC8" t="n">
        <v>88</v>
      </c>
      <c r="DD8" t="n">
        <v>1003</v>
      </c>
      <c r="DE8" t="n">
        <v>883</v>
      </c>
      <c r="DF8" t="n">
        <v>31</v>
      </c>
      <c r="DG8" t="n">
        <v>1903</v>
      </c>
      <c r="DH8" t="n">
        <v>590</v>
      </c>
      <c r="DI8" t="n">
        <v>31</v>
      </c>
      <c r="DJ8" t="n">
        <v>1905</v>
      </c>
      <c r="DK8" t="n">
        <v>590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142</v>
      </c>
      <c r="DS8" t="n">
        <v>1652</v>
      </c>
      <c r="DT8" t="n">
        <v>119</v>
      </c>
      <c r="DU8" t="n">
        <v>979</v>
      </c>
      <c r="DV8" t="n">
        <v>1165</v>
      </c>
      <c r="DW8" t="n">
        <v>23</v>
      </c>
      <c r="DX8" t="n">
        <v>2117</v>
      </c>
      <c r="DY8" t="n">
        <v>487</v>
      </c>
      <c r="DZ8" t="n">
        <v>22</v>
      </c>
      <c r="EA8" t="n">
        <v>2156</v>
      </c>
      <c r="EB8" t="n">
        <v>474</v>
      </c>
      <c r="EC8" t="n">
        <v>0</v>
      </c>
      <c r="ED8" t="n">
        <v>0</v>
      </c>
      <c r="EE8" t="n">
        <v>0</v>
      </c>
      <c r="EF8" t="n">
        <v>1</v>
      </c>
      <c r="EG8" t="n">
        <v>1303</v>
      </c>
      <c r="EH8" t="n">
        <v>13</v>
      </c>
      <c r="EI8" t="n">
        <v>195</v>
      </c>
      <c r="EJ8" t="n">
        <v>2773</v>
      </c>
      <c r="EK8" t="n">
        <v>143</v>
      </c>
      <c r="EL8" t="n">
        <v>1050</v>
      </c>
      <c r="EM8" t="n">
        <v>1502</v>
      </c>
      <c r="EN8" t="n">
        <v>52</v>
      </c>
      <c r="EO8" t="n">
        <v>2444</v>
      </c>
      <c r="EP8" t="n">
        <v>1271</v>
      </c>
      <c r="EQ8" t="n">
        <v>36</v>
      </c>
      <c r="ER8" t="n">
        <v>2927</v>
      </c>
      <c r="ES8" t="n">
        <v>1054</v>
      </c>
      <c r="ET8" t="n">
        <v>0</v>
      </c>
      <c r="EU8" t="n">
        <v>0</v>
      </c>
      <c r="EV8" t="n">
        <v>0</v>
      </c>
      <c r="EW8" t="n">
        <v>16</v>
      </c>
      <c r="EX8" t="n">
        <v>1357</v>
      </c>
      <c r="EY8" t="n">
        <v>217</v>
      </c>
      <c r="EZ8" t="n">
        <v>155</v>
      </c>
      <c r="FA8" t="n">
        <v>1872</v>
      </c>
      <c r="FB8" t="n">
        <v>133</v>
      </c>
      <c r="FC8" t="n">
        <v>975</v>
      </c>
      <c r="FD8" t="n">
        <v>1297</v>
      </c>
      <c r="FE8" t="n">
        <v>22</v>
      </c>
      <c r="FF8" t="n">
        <v>2614</v>
      </c>
      <c r="FG8" t="n">
        <v>575</v>
      </c>
      <c r="FH8" t="n">
        <v>22</v>
      </c>
      <c r="FI8" t="n">
        <v>2615</v>
      </c>
      <c r="FJ8" t="n">
        <v>575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128</v>
      </c>
      <c r="FR8" t="n">
        <v>1535</v>
      </c>
      <c r="FS8" t="n">
        <v>99</v>
      </c>
      <c r="FT8" t="n">
        <v>888</v>
      </c>
      <c r="FU8" t="n">
        <v>879</v>
      </c>
      <c r="FV8" t="n">
        <v>29</v>
      </c>
      <c r="FW8" t="n">
        <v>2262</v>
      </c>
      <c r="FX8" t="n">
        <v>656</v>
      </c>
      <c r="FY8" t="n">
        <v>28</v>
      </c>
      <c r="FZ8" t="n">
        <v>2291</v>
      </c>
      <c r="GA8" t="n">
        <v>641</v>
      </c>
      <c r="GB8" t="n">
        <v>0</v>
      </c>
      <c r="GC8" t="n">
        <v>0</v>
      </c>
      <c r="GD8" t="n">
        <v>0</v>
      </c>
      <c r="GE8" t="n">
        <v>1</v>
      </c>
      <c r="GF8" t="n">
        <v>1533</v>
      </c>
      <c r="GG8" t="n">
        <v>15</v>
      </c>
      <c r="GH8" t="n">
        <v>94</v>
      </c>
      <c r="GI8" t="n">
        <v>965</v>
      </c>
      <c r="GJ8" t="n">
        <v>50</v>
      </c>
      <c r="GK8" t="n">
        <v>877</v>
      </c>
      <c r="GL8" t="n">
        <v>439</v>
      </c>
      <c r="GM8" t="n">
        <v>44</v>
      </c>
      <c r="GN8" t="n">
        <v>1195</v>
      </c>
      <c r="GO8" t="n">
        <v>526</v>
      </c>
      <c r="GP8" t="n">
        <v>19</v>
      </c>
      <c r="GQ8" t="n">
        <v>1970</v>
      </c>
      <c r="GR8" t="n">
        <v>374</v>
      </c>
      <c r="GS8" t="n">
        <v>0</v>
      </c>
      <c r="GT8" t="n">
        <v>0</v>
      </c>
      <c r="GU8" t="n">
        <v>0</v>
      </c>
      <c r="GV8" t="n">
        <v>25</v>
      </c>
      <c r="GW8" t="n">
        <v>606</v>
      </c>
      <c r="GX8" t="n">
        <v>152</v>
      </c>
      <c r="GY8" t="n">
        <v>107</v>
      </c>
      <c r="GZ8" t="n">
        <v>1385</v>
      </c>
      <c r="HA8" t="n">
        <v>54</v>
      </c>
      <c r="HB8" t="n">
        <v>949</v>
      </c>
      <c r="HC8" t="n">
        <v>516</v>
      </c>
      <c r="HD8" t="n">
        <v>53</v>
      </c>
      <c r="HE8" t="n">
        <v>1650</v>
      </c>
      <c r="HF8" t="n">
        <v>869</v>
      </c>
      <c r="HG8" t="n">
        <v>34</v>
      </c>
      <c r="HH8" t="n">
        <v>1820</v>
      </c>
      <c r="HI8" t="n">
        <v>613</v>
      </c>
      <c r="HJ8" t="n">
        <v>0</v>
      </c>
      <c r="HK8" t="n">
        <v>0</v>
      </c>
      <c r="HL8" t="n">
        <v>0</v>
      </c>
      <c r="HM8" t="n">
        <v>19</v>
      </c>
      <c r="HN8" t="n">
        <v>1351</v>
      </c>
      <c r="HO8" t="n">
        <v>256</v>
      </c>
      <c r="HP8" t="n">
        <v>99</v>
      </c>
      <c r="HQ8" t="n">
        <v>2167</v>
      </c>
      <c r="HR8" t="n">
        <v>46</v>
      </c>
      <c r="HS8" t="n">
        <v>2379</v>
      </c>
      <c r="HT8" t="n">
        <v>1098</v>
      </c>
      <c r="HU8" t="n">
        <v>53</v>
      </c>
      <c r="HV8" t="n">
        <v>2009</v>
      </c>
      <c r="HW8" t="n">
        <v>1069</v>
      </c>
      <c r="HX8" t="n">
        <v>38</v>
      </c>
      <c r="HY8" t="n">
        <v>1877</v>
      </c>
      <c r="HZ8" t="n">
        <v>718</v>
      </c>
      <c r="IA8" t="n">
        <v>0</v>
      </c>
      <c r="IB8" t="n">
        <v>0</v>
      </c>
      <c r="IC8" t="n">
        <v>0</v>
      </c>
      <c r="ID8" t="n">
        <v>15</v>
      </c>
      <c r="IE8" t="n">
        <v>2343</v>
      </c>
      <c r="IF8" t="n">
        <v>351</v>
      </c>
      <c r="IG8" t="n">
        <v>121</v>
      </c>
      <c r="IH8" t="n">
        <v>1509</v>
      </c>
      <c r="II8" t="n">
        <v>56</v>
      </c>
      <c r="IJ8" t="n">
        <v>687</v>
      </c>
      <c r="IK8" t="n">
        <v>387</v>
      </c>
      <c r="IL8" t="n">
        <v>65</v>
      </c>
      <c r="IM8" t="n">
        <v>1735</v>
      </c>
      <c r="IN8" t="n">
        <v>1122</v>
      </c>
      <c r="IO8" t="n">
        <v>45</v>
      </c>
      <c r="IP8" t="n">
        <v>2077</v>
      </c>
      <c r="IQ8" t="n">
        <v>934</v>
      </c>
      <c r="IR8" t="n">
        <v>0</v>
      </c>
      <c r="IS8" t="n">
        <v>0</v>
      </c>
      <c r="IT8" t="n">
        <v>0</v>
      </c>
      <c r="IU8" t="n">
        <v>20</v>
      </c>
      <c r="IV8" t="n">
        <v>957</v>
      </c>
      <c r="IW8" t="n">
        <v>188</v>
      </c>
      <c r="IX8" t="n">
        <v>151</v>
      </c>
      <c r="IY8" t="n">
        <v>1816</v>
      </c>
      <c r="IZ8" t="n">
        <v>51</v>
      </c>
      <c r="JA8" t="n">
        <v>676</v>
      </c>
      <c r="JB8" t="n">
        <v>348</v>
      </c>
      <c r="JC8" t="n">
        <v>100</v>
      </c>
      <c r="JD8" t="n">
        <v>1475</v>
      </c>
      <c r="JE8" t="n">
        <v>1468</v>
      </c>
      <c r="JF8" t="n">
        <v>44</v>
      </c>
      <c r="JG8" t="n">
        <v>2158</v>
      </c>
      <c r="JH8" t="n">
        <v>939</v>
      </c>
      <c r="JI8" t="n">
        <v>0</v>
      </c>
      <c r="JJ8" t="n">
        <v>0</v>
      </c>
      <c r="JK8" t="n">
        <v>0</v>
      </c>
      <c r="JL8" t="n">
        <v>56</v>
      </c>
      <c r="JM8" t="n">
        <v>944</v>
      </c>
      <c r="JN8" t="n">
        <v>529</v>
      </c>
      <c r="JO8" t="n">
        <v>79</v>
      </c>
      <c r="JP8" t="n">
        <v>1130</v>
      </c>
      <c r="JQ8" t="n">
        <v>45</v>
      </c>
      <c r="JR8" t="n">
        <v>723</v>
      </c>
      <c r="JS8" t="n">
        <v>322</v>
      </c>
      <c r="JT8" t="n">
        <v>34</v>
      </c>
      <c r="JU8" t="n">
        <v>2353</v>
      </c>
      <c r="JV8" t="n">
        <v>808</v>
      </c>
      <c r="JW8" t="n">
        <v>25</v>
      </c>
      <c r="JX8" t="n">
        <v>2869</v>
      </c>
      <c r="JY8" t="n">
        <v>723</v>
      </c>
      <c r="JZ8" t="n">
        <v>0</v>
      </c>
      <c r="KA8" t="n">
        <v>0</v>
      </c>
      <c r="KB8" t="n">
        <v>0</v>
      </c>
      <c r="KC8" t="n">
        <v>9</v>
      </c>
      <c r="KD8" t="n">
        <v>935</v>
      </c>
      <c r="KE8" t="n">
        <v>85</v>
      </c>
      <c r="KF8" t="n">
        <v>88</v>
      </c>
      <c r="KG8" t="n">
        <v>1066</v>
      </c>
      <c r="KH8" t="n">
        <v>50</v>
      </c>
      <c r="KI8" t="n">
        <v>727</v>
      </c>
      <c r="KJ8" t="n">
        <v>363</v>
      </c>
      <c r="KK8" t="n">
        <v>38</v>
      </c>
      <c r="KL8" t="n">
        <v>1866</v>
      </c>
      <c r="KM8" t="n">
        <v>703</v>
      </c>
      <c r="KN8" t="n">
        <v>24</v>
      </c>
      <c r="KO8" t="n">
        <v>2417</v>
      </c>
      <c r="KP8" t="n">
        <v>571</v>
      </c>
      <c r="KQ8" t="n">
        <v>0</v>
      </c>
      <c r="KR8" t="n">
        <v>0</v>
      </c>
      <c r="KS8" t="n">
        <v>0</v>
      </c>
      <c r="KT8" t="n">
        <v>14</v>
      </c>
      <c r="KU8" t="n">
        <v>941</v>
      </c>
      <c r="KV8" t="n">
        <v>132</v>
      </c>
      <c r="KW8" t="n">
        <v>79</v>
      </c>
      <c r="KX8" t="n">
        <v>972</v>
      </c>
      <c r="KY8" t="n">
        <v>37</v>
      </c>
      <c r="KZ8" t="n">
        <v>733</v>
      </c>
      <c r="LA8" t="n">
        <v>274</v>
      </c>
      <c r="LB8" t="n">
        <v>42</v>
      </c>
      <c r="LC8" t="n">
        <v>1672</v>
      </c>
      <c r="LD8" t="n">
        <v>698</v>
      </c>
      <c r="LE8" t="n">
        <v>28</v>
      </c>
      <c r="LF8" t="n">
        <v>2009</v>
      </c>
      <c r="LG8" t="n">
        <v>563</v>
      </c>
      <c r="LH8" t="n">
        <v>0</v>
      </c>
      <c r="LI8" t="n">
        <v>0</v>
      </c>
      <c r="LJ8" t="n">
        <v>0</v>
      </c>
      <c r="LK8" t="n">
        <v>14</v>
      </c>
      <c r="LL8" t="n">
        <v>988</v>
      </c>
      <c r="LM8" t="n">
        <v>135</v>
      </c>
      <c r="LN8" t="n">
        <v>82</v>
      </c>
      <c r="LO8" t="n">
        <v>1511</v>
      </c>
      <c r="LP8" t="n">
        <v>36</v>
      </c>
      <c r="LQ8" t="n">
        <v>810</v>
      </c>
      <c r="LR8" t="n">
        <v>293</v>
      </c>
      <c r="LS8" t="n">
        <v>46</v>
      </c>
      <c r="LT8" t="n">
        <v>2659</v>
      </c>
      <c r="LU8" t="n">
        <v>1218</v>
      </c>
      <c r="LV8" t="n">
        <v>37</v>
      </c>
      <c r="LW8" t="n">
        <v>2826</v>
      </c>
      <c r="LX8" t="n">
        <v>1041</v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n">
        <v>9</v>
      </c>
      <c r="MC8" t="n">
        <v>1980</v>
      </c>
      <c r="MD8" t="n">
        <v>177</v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n">
        <v>31</v>
      </c>
      <c r="MN8" t="n">
        <v>2910</v>
      </c>
      <c r="MO8" t="n">
        <v>897</v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-</t>
        </is>
      </c>
      <c r="NC8" t="inlineStr">
        <is>
          <t>-</t>
        </is>
      </c>
      <c r="ND8" t="n">
        <v>56</v>
      </c>
      <c r="NE8" t="n">
        <v>1967</v>
      </c>
      <c r="NF8" t="n">
        <v>1092</v>
      </c>
      <c r="NG8" t="inlineStr">
        <is>
          <t>-</t>
        </is>
      </c>
      <c r="NH8" t="inlineStr">
        <is>
          <t>-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</row>
    <row r="9">
      <c r="A9" t="inlineStr">
        <is>
          <t>대구광역시</t>
        </is>
      </c>
      <c r="B9" t="inlineStr">
        <is>
          <t>소계</t>
        </is>
      </c>
      <c r="C9" t="n">
        <v>194</v>
      </c>
      <c r="D9" t="n">
        <v>4062</v>
      </c>
      <c r="E9" t="n">
        <v>71</v>
      </c>
      <c r="F9" t="n">
        <v>1507</v>
      </c>
      <c r="G9" t="n">
        <v>1070</v>
      </c>
      <c r="H9" t="n">
        <v>123</v>
      </c>
      <c r="I9" t="n">
        <v>2433</v>
      </c>
      <c r="J9" t="n">
        <v>2992</v>
      </c>
      <c r="K9" t="n">
        <v>115</v>
      </c>
      <c r="L9" t="n">
        <v>2451</v>
      </c>
      <c r="M9" t="n">
        <v>2819</v>
      </c>
      <c r="N9" t="n">
        <v>0</v>
      </c>
      <c r="O9" t="n">
        <v>0</v>
      </c>
      <c r="P9" t="n">
        <v>0</v>
      </c>
      <c r="Q9" t="n">
        <v>8</v>
      </c>
      <c r="R9" t="n">
        <v>2163</v>
      </c>
      <c r="S9" t="n">
        <v>173</v>
      </c>
      <c r="T9" t="n">
        <v>183</v>
      </c>
      <c r="U9" t="n">
        <v>4057</v>
      </c>
      <c r="V9" t="n">
        <v>64</v>
      </c>
      <c r="W9" t="n">
        <v>1688</v>
      </c>
      <c r="X9" t="n">
        <v>1080</v>
      </c>
      <c r="Y9" t="n">
        <v>119</v>
      </c>
      <c r="Z9" t="n">
        <v>2502</v>
      </c>
      <c r="AA9" t="n">
        <v>2977</v>
      </c>
      <c r="AB9" t="n">
        <v>118</v>
      </c>
      <c r="AC9" t="n">
        <v>2502</v>
      </c>
      <c r="AD9" t="n">
        <v>2952</v>
      </c>
      <c r="AE9" t="n">
        <v>0</v>
      </c>
      <c r="AF9" t="n">
        <v>0</v>
      </c>
      <c r="AG9" t="n">
        <v>0</v>
      </c>
      <c r="AH9" t="n">
        <v>1</v>
      </c>
      <c r="AI9" t="n">
        <v>2500</v>
      </c>
      <c r="AJ9" t="n">
        <v>25</v>
      </c>
      <c r="AK9" t="n">
        <v>164</v>
      </c>
      <c r="AL9" t="n">
        <v>3380</v>
      </c>
      <c r="AM9" t="n">
        <v>76</v>
      </c>
      <c r="AN9" t="n">
        <v>1380</v>
      </c>
      <c r="AO9" t="n">
        <v>1049</v>
      </c>
      <c r="AP9" t="n">
        <v>88</v>
      </c>
      <c r="AQ9" t="n">
        <v>2649</v>
      </c>
      <c r="AR9" t="n">
        <v>2331</v>
      </c>
      <c r="AS9" t="n">
        <v>72</v>
      </c>
      <c r="AT9" t="n">
        <v>2737</v>
      </c>
      <c r="AU9" t="n">
        <v>1971</v>
      </c>
      <c r="AV9" t="n">
        <v>0</v>
      </c>
      <c r="AW9" t="n">
        <v>0</v>
      </c>
      <c r="AX9" t="n">
        <v>0</v>
      </c>
      <c r="AY9" t="n">
        <v>16</v>
      </c>
      <c r="AZ9" t="n">
        <v>2250</v>
      </c>
      <c r="BA9" t="n">
        <v>360</v>
      </c>
      <c r="BB9" t="n">
        <v>185</v>
      </c>
      <c r="BC9" t="n">
        <v>4436</v>
      </c>
      <c r="BD9" t="n">
        <v>84</v>
      </c>
      <c r="BE9" t="n">
        <v>1673</v>
      </c>
      <c r="BF9" t="n">
        <v>1405</v>
      </c>
      <c r="BG9" t="n">
        <v>101</v>
      </c>
      <c r="BH9" t="n">
        <v>3001</v>
      </c>
      <c r="BI9" t="n">
        <v>3031</v>
      </c>
      <c r="BJ9" t="n">
        <v>101</v>
      </c>
      <c r="BK9" t="n">
        <v>3001</v>
      </c>
      <c r="BL9" t="n">
        <v>3031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203</v>
      </c>
      <c r="BT9" t="n">
        <v>3646</v>
      </c>
      <c r="BU9" t="n">
        <v>109</v>
      </c>
      <c r="BV9" t="n">
        <v>1588</v>
      </c>
      <c r="BW9" t="n">
        <v>1731</v>
      </c>
      <c r="BX9" t="n">
        <v>94</v>
      </c>
      <c r="BY9" t="n">
        <v>2037</v>
      </c>
      <c r="BZ9" t="n">
        <v>1915</v>
      </c>
      <c r="CA9" t="n">
        <v>90</v>
      </c>
      <c r="CB9" t="n">
        <v>2088</v>
      </c>
      <c r="CC9" t="n">
        <v>1879</v>
      </c>
      <c r="CD9" t="n">
        <v>0</v>
      </c>
      <c r="CE9" t="n">
        <v>0</v>
      </c>
      <c r="CF9" t="n">
        <v>0</v>
      </c>
      <c r="CG9" t="n">
        <v>4</v>
      </c>
      <c r="CH9" t="n">
        <v>900</v>
      </c>
      <c r="CI9" t="n">
        <v>36</v>
      </c>
      <c r="CJ9" t="n">
        <v>232</v>
      </c>
      <c r="CK9" t="n">
        <v>3490</v>
      </c>
      <c r="CL9" t="n">
        <v>120</v>
      </c>
      <c r="CM9" t="n">
        <v>1276</v>
      </c>
      <c r="CN9" t="n">
        <v>1531</v>
      </c>
      <c r="CO9" t="n">
        <v>112</v>
      </c>
      <c r="CP9" t="n">
        <v>1749</v>
      </c>
      <c r="CQ9" t="n">
        <v>1959</v>
      </c>
      <c r="CR9" t="n">
        <v>104</v>
      </c>
      <c r="CS9" t="n">
        <v>1789</v>
      </c>
      <c r="CT9" t="n">
        <v>1860</v>
      </c>
      <c r="CU9" t="n">
        <v>0</v>
      </c>
      <c r="CV9" t="n">
        <v>0</v>
      </c>
      <c r="CW9" t="n">
        <v>0</v>
      </c>
      <c r="CX9" t="n">
        <v>8</v>
      </c>
      <c r="CY9" t="n">
        <v>1239</v>
      </c>
      <c r="CZ9" t="n">
        <v>99</v>
      </c>
      <c r="DA9" t="n">
        <v>200</v>
      </c>
      <c r="DB9" t="n">
        <v>3829</v>
      </c>
      <c r="DC9" t="n">
        <v>101</v>
      </c>
      <c r="DD9" t="n">
        <v>1299</v>
      </c>
      <c r="DE9" t="n">
        <v>1312</v>
      </c>
      <c r="DF9" t="n">
        <v>99</v>
      </c>
      <c r="DG9" t="n">
        <v>2542</v>
      </c>
      <c r="DH9" t="n">
        <v>2517</v>
      </c>
      <c r="DI9" t="n">
        <v>99</v>
      </c>
      <c r="DJ9" t="n">
        <v>2542</v>
      </c>
      <c r="DK9" t="n">
        <v>2517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202</v>
      </c>
      <c r="DS9" t="n">
        <v>4428</v>
      </c>
      <c r="DT9" t="n">
        <v>96</v>
      </c>
      <c r="DU9" t="n">
        <v>1255</v>
      </c>
      <c r="DV9" t="n">
        <v>1205</v>
      </c>
      <c r="DW9" t="n">
        <v>106</v>
      </c>
      <c r="DX9" t="n">
        <v>3041</v>
      </c>
      <c r="DY9" t="n">
        <v>3223</v>
      </c>
      <c r="DZ9" t="n">
        <v>106</v>
      </c>
      <c r="EA9" t="n">
        <v>3041</v>
      </c>
      <c r="EB9" t="n">
        <v>3223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288</v>
      </c>
      <c r="EJ9" t="n">
        <v>5423</v>
      </c>
      <c r="EK9" t="n">
        <v>123</v>
      </c>
      <c r="EL9" t="n">
        <v>1306</v>
      </c>
      <c r="EM9" t="n">
        <v>1606</v>
      </c>
      <c r="EN9" t="n">
        <v>165</v>
      </c>
      <c r="EO9" t="n">
        <v>2313</v>
      </c>
      <c r="EP9" t="n">
        <v>3817</v>
      </c>
      <c r="EQ9" t="n">
        <v>148</v>
      </c>
      <c r="ER9" t="n">
        <v>2349</v>
      </c>
      <c r="ES9" t="n">
        <v>3477</v>
      </c>
      <c r="ET9" t="n">
        <v>0</v>
      </c>
      <c r="EU9" t="n">
        <v>0</v>
      </c>
      <c r="EV9" t="n">
        <v>0</v>
      </c>
      <c r="EW9" t="n">
        <v>17</v>
      </c>
      <c r="EX9" t="n">
        <v>2000</v>
      </c>
      <c r="EY9" t="n">
        <v>340</v>
      </c>
      <c r="EZ9" t="n">
        <v>165</v>
      </c>
      <c r="FA9" t="n">
        <v>2824</v>
      </c>
      <c r="FB9" t="n">
        <v>82</v>
      </c>
      <c r="FC9" t="n">
        <v>1009</v>
      </c>
      <c r="FD9" t="n">
        <v>827</v>
      </c>
      <c r="FE9" t="n">
        <v>83</v>
      </c>
      <c r="FF9" t="n">
        <v>2406</v>
      </c>
      <c r="FG9" t="n">
        <v>1997</v>
      </c>
      <c r="FH9" t="n">
        <v>74</v>
      </c>
      <c r="FI9" t="n">
        <v>2504</v>
      </c>
      <c r="FJ9" t="n">
        <v>1853</v>
      </c>
      <c r="FK9" t="n">
        <v>0</v>
      </c>
      <c r="FL9" t="n">
        <v>0</v>
      </c>
      <c r="FM9" t="n">
        <v>0</v>
      </c>
      <c r="FN9" t="n">
        <v>9</v>
      </c>
      <c r="FO9" t="n">
        <v>1600</v>
      </c>
      <c r="FP9" t="n">
        <v>144</v>
      </c>
      <c r="FQ9" t="n">
        <v>133</v>
      </c>
      <c r="FR9" t="n">
        <v>2344</v>
      </c>
      <c r="FS9" t="n">
        <v>66</v>
      </c>
      <c r="FT9" t="n">
        <v>1053</v>
      </c>
      <c r="FU9" t="n">
        <v>695</v>
      </c>
      <c r="FV9" t="n">
        <v>67</v>
      </c>
      <c r="FW9" t="n">
        <v>2461</v>
      </c>
      <c r="FX9" t="n">
        <v>1649</v>
      </c>
      <c r="FY9" t="n">
        <v>63</v>
      </c>
      <c r="FZ9" t="n">
        <v>2540</v>
      </c>
      <c r="GA9" t="n">
        <v>1600</v>
      </c>
      <c r="GB9" t="n">
        <v>0</v>
      </c>
      <c r="GC9" t="n">
        <v>0</v>
      </c>
      <c r="GD9" t="n">
        <v>0</v>
      </c>
      <c r="GE9" t="n">
        <v>4</v>
      </c>
      <c r="GF9" t="n">
        <v>1227</v>
      </c>
      <c r="GG9" t="n">
        <v>49</v>
      </c>
      <c r="GH9" t="n">
        <v>200</v>
      </c>
      <c r="GI9" t="n">
        <v>4022</v>
      </c>
      <c r="GJ9" t="n">
        <v>77</v>
      </c>
      <c r="GK9" t="n">
        <v>1030</v>
      </c>
      <c r="GL9" t="n">
        <v>793</v>
      </c>
      <c r="GM9" t="n">
        <v>123</v>
      </c>
      <c r="GN9" t="n">
        <v>2625</v>
      </c>
      <c r="GO9" t="n">
        <v>3229</v>
      </c>
      <c r="GP9" t="n">
        <v>118</v>
      </c>
      <c r="GQ9" t="n">
        <v>2637</v>
      </c>
      <c r="GR9" t="n">
        <v>3111</v>
      </c>
      <c r="GS9" t="n">
        <v>0</v>
      </c>
      <c r="GT9" t="n">
        <v>0</v>
      </c>
      <c r="GU9" t="n">
        <v>0</v>
      </c>
      <c r="GV9" t="n">
        <v>5</v>
      </c>
      <c r="GW9" t="n">
        <v>2361</v>
      </c>
      <c r="GX9" t="n">
        <v>118</v>
      </c>
      <c r="GY9" t="n">
        <v>179</v>
      </c>
      <c r="GZ9" t="n">
        <v>2967</v>
      </c>
      <c r="HA9" t="n">
        <v>78</v>
      </c>
      <c r="HB9" t="n">
        <v>993</v>
      </c>
      <c r="HC9" t="n">
        <v>777</v>
      </c>
      <c r="HD9" t="n">
        <v>100</v>
      </c>
      <c r="HE9" t="n">
        <v>2184</v>
      </c>
      <c r="HF9" t="n">
        <v>2190</v>
      </c>
      <c r="HG9" t="n">
        <v>95</v>
      </c>
      <c r="HH9" t="n">
        <v>2183</v>
      </c>
      <c r="HI9" t="n">
        <v>2072</v>
      </c>
      <c r="HJ9" t="n">
        <v>0</v>
      </c>
      <c r="HK9" t="n">
        <v>0</v>
      </c>
      <c r="HL9" t="n">
        <v>0</v>
      </c>
      <c r="HM9" t="n">
        <v>5</v>
      </c>
      <c r="HN9" t="n">
        <v>2194</v>
      </c>
      <c r="HO9" t="n">
        <v>118</v>
      </c>
      <c r="HP9" t="n">
        <v>119</v>
      </c>
      <c r="HQ9" t="n">
        <v>1889</v>
      </c>
      <c r="HR9" t="n">
        <v>58</v>
      </c>
      <c r="HS9" t="n">
        <v>940</v>
      </c>
      <c r="HT9" t="n">
        <v>541</v>
      </c>
      <c r="HU9" t="n">
        <v>61</v>
      </c>
      <c r="HV9" t="n">
        <v>2199</v>
      </c>
      <c r="HW9" t="n">
        <v>1348</v>
      </c>
      <c r="HX9" t="n">
        <v>56</v>
      </c>
      <c r="HY9" t="n">
        <v>2201</v>
      </c>
      <c r="HZ9" t="n">
        <v>1231</v>
      </c>
      <c r="IA9" t="n">
        <v>0</v>
      </c>
      <c r="IB9" t="n">
        <v>0</v>
      </c>
      <c r="IC9" t="n">
        <v>0</v>
      </c>
      <c r="ID9" t="n">
        <v>5</v>
      </c>
      <c r="IE9" t="n">
        <v>2174</v>
      </c>
      <c r="IF9" t="n">
        <v>117</v>
      </c>
      <c r="IG9" t="n">
        <v>151</v>
      </c>
      <c r="IH9" t="n">
        <v>2040</v>
      </c>
      <c r="II9" t="n">
        <v>56</v>
      </c>
      <c r="IJ9" t="n">
        <v>636</v>
      </c>
      <c r="IK9" t="n">
        <v>357</v>
      </c>
      <c r="IL9" t="n">
        <v>95</v>
      </c>
      <c r="IM9" t="n">
        <v>1777</v>
      </c>
      <c r="IN9" t="n">
        <v>1683</v>
      </c>
      <c r="IO9" t="n">
        <v>94</v>
      </c>
      <c r="IP9" t="n">
        <v>1782</v>
      </c>
      <c r="IQ9" t="n">
        <v>1667</v>
      </c>
      <c r="IR9" t="n">
        <v>0</v>
      </c>
      <c r="IS9" t="n">
        <v>0</v>
      </c>
      <c r="IT9" t="n">
        <v>0</v>
      </c>
      <c r="IU9" t="n">
        <v>1</v>
      </c>
      <c r="IV9" t="n">
        <v>1403</v>
      </c>
      <c r="IW9" t="n">
        <v>16</v>
      </c>
      <c r="IX9" t="n">
        <v>158</v>
      </c>
      <c r="IY9" t="n">
        <v>2450</v>
      </c>
      <c r="IZ9" t="n">
        <v>70</v>
      </c>
      <c r="JA9" t="n">
        <v>637</v>
      </c>
      <c r="JB9" t="n">
        <v>448</v>
      </c>
      <c r="JC9" t="n">
        <v>87</v>
      </c>
      <c r="JD9" t="n">
        <v>2297</v>
      </c>
      <c r="JE9" t="n">
        <v>2002</v>
      </c>
      <c r="JF9" t="n">
        <v>85</v>
      </c>
      <c r="JG9" t="n">
        <v>2325</v>
      </c>
      <c r="JH9" t="n">
        <v>1966</v>
      </c>
      <c r="JI9" t="n">
        <v>0</v>
      </c>
      <c r="JJ9" t="n">
        <v>0</v>
      </c>
      <c r="JK9" t="n">
        <v>0</v>
      </c>
      <c r="JL9" t="n">
        <v>3</v>
      </c>
      <c r="JM9" t="n">
        <v>1372</v>
      </c>
      <c r="JN9" t="n">
        <v>36</v>
      </c>
      <c r="JO9" t="n">
        <v>116</v>
      </c>
      <c r="JP9" t="n">
        <v>1353</v>
      </c>
      <c r="JQ9" t="n">
        <v>72</v>
      </c>
      <c r="JR9" t="n">
        <v>586</v>
      </c>
      <c r="JS9" t="n">
        <v>420</v>
      </c>
      <c r="JT9" t="n">
        <v>45</v>
      </c>
      <c r="JU9" t="n">
        <v>2093</v>
      </c>
      <c r="JV9" t="n">
        <v>933</v>
      </c>
      <c r="JW9" t="n">
        <v>44</v>
      </c>
      <c r="JX9" t="n">
        <v>2096</v>
      </c>
      <c r="JY9" t="n">
        <v>929</v>
      </c>
      <c r="JZ9" t="n">
        <v>0</v>
      </c>
      <c r="KA9" t="n">
        <v>0</v>
      </c>
      <c r="KB9" t="n">
        <v>0</v>
      </c>
      <c r="KC9" t="n">
        <v>0</v>
      </c>
      <c r="KD9" t="n">
        <v>1352</v>
      </c>
      <c r="KE9" t="n">
        <v>4</v>
      </c>
      <c r="KF9" t="n">
        <v>98</v>
      </c>
      <c r="KG9" t="n">
        <v>1385</v>
      </c>
      <c r="KH9" t="n">
        <v>58</v>
      </c>
      <c r="KI9" t="n">
        <v>762</v>
      </c>
      <c r="KJ9" t="n">
        <v>445</v>
      </c>
      <c r="KK9" t="n">
        <v>40</v>
      </c>
      <c r="KL9" t="n">
        <v>2366</v>
      </c>
      <c r="KM9" t="n">
        <v>940</v>
      </c>
      <c r="KN9" t="n">
        <v>37</v>
      </c>
      <c r="KO9" t="n">
        <v>2436</v>
      </c>
      <c r="KP9" t="n">
        <v>902</v>
      </c>
      <c r="KQ9" t="n">
        <v>0</v>
      </c>
      <c r="KR9" t="n">
        <v>0</v>
      </c>
      <c r="KS9" t="n">
        <v>0</v>
      </c>
      <c r="KT9" t="n">
        <v>3</v>
      </c>
      <c r="KU9" t="n">
        <v>1402</v>
      </c>
      <c r="KV9" t="n">
        <v>38</v>
      </c>
      <c r="KW9" t="n">
        <v>110</v>
      </c>
      <c r="KX9" t="n">
        <v>1649</v>
      </c>
      <c r="KY9" t="n">
        <v>41</v>
      </c>
      <c r="KZ9" t="n">
        <v>1279</v>
      </c>
      <c r="LA9" t="n">
        <v>519</v>
      </c>
      <c r="LB9" t="n">
        <v>70</v>
      </c>
      <c r="LC9" t="n">
        <v>1624</v>
      </c>
      <c r="LD9" t="n">
        <v>1130</v>
      </c>
      <c r="LE9" t="n">
        <v>37</v>
      </c>
      <c r="LF9" t="n">
        <v>1987</v>
      </c>
      <c r="LG9" t="n">
        <v>732</v>
      </c>
      <c r="LH9" t="n">
        <v>0</v>
      </c>
      <c r="LI9" t="n">
        <v>0</v>
      </c>
      <c r="LJ9" t="n">
        <v>0</v>
      </c>
      <c r="LK9" t="n">
        <v>33</v>
      </c>
      <c r="LL9" t="n">
        <v>1215</v>
      </c>
      <c r="LM9" t="n">
        <v>398</v>
      </c>
      <c r="LN9" t="n">
        <v>374</v>
      </c>
      <c r="LO9" t="n">
        <v>9185</v>
      </c>
      <c r="LP9" t="n">
        <v>71</v>
      </c>
      <c r="LQ9" t="n">
        <v>1350</v>
      </c>
      <c r="LR9" t="n">
        <v>957</v>
      </c>
      <c r="LS9" t="n">
        <v>303</v>
      </c>
      <c r="LT9" t="n">
        <v>2711</v>
      </c>
      <c r="LU9" t="n">
        <v>8228</v>
      </c>
      <c r="LV9" t="n">
        <v>286</v>
      </c>
      <c r="LW9" t="n">
        <v>2804</v>
      </c>
      <c r="LX9" t="n">
        <v>8020</v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n">
        <v>17</v>
      </c>
      <c r="MC9" t="n">
        <v>1188</v>
      </c>
      <c r="MD9" t="n">
        <v>208</v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n">
        <v>256</v>
      </c>
      <c r="MN9" t="n">
        <v>1991</v>
      </c>
      <c r="MO9" t="n">
        <v>5096</v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U9" t="inlineStr">
        <is>
          <t>-</t>
        </is>
      </c>
      <c r="MV9" t="inlineStr">
        <is>
          <t>-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-</t>
        </is>
      </c>
      <c r="NC9" t="inlineStr">
        <is>
          <t>-</t>
        </is>
      </c>
      <c r="ND9" t="n">
        <v>122</v>
      </c>
      <c r="NE9" t="n">
        <v>2200</v>
      </c>
      <c r="NF9" t="n">
        <v>2691</v>
      </c>
      <c r="NG9" t="inlineStr">
        <is>
          <t>-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</row>
    <row r="10">
      <c r="A10" t="inlineStr">
        <is>
          <t>인천광역시</t>
        </is>
      </c>
      <c r="B10" t="inlineStr">
        <is>
          <t>소계</t>
        </is>
      </c>
      <c r="C10" t="n">
        <v>723</v>
      </c>
      <c r="D10" t="n">
        <v>13905</v>
      </c>
      <c r="E10" t="n">
        <v>471</v>
      </c>
      <c r="F10" t="n">
        <v>1714</v>
      </c>
      <c r="G10" t="n">
        <v>8073</v>
      </c>
      <c r="H10" t="n">
        <v>252</v>
      </c>
      <c r="I10" t="n">
        <v>2314</v>
      </c>
      <c r="J10" t="n">
        <v>5832</v>
      </c>
      <c r="K10" t="n">
        <v>247</v>
      </c>
      <c r="L10" t="n">
        <v>2314</v>
      </c>
      <c r="M10" t="n">
        <v>5716</v>
      </c>
      <c r="N10" t="n">
        <v>0</v>
      </c>
      <c r="O10" t="n">
        <v>0</v>
      </c>
      <c r="P10" t="n">
        <v>0</v>
      </c>
      <c r="Q10" t="n">
        <v>5</v>
      </c>
      <c r="R10" t="n">
        <v>2320</v>
      </c>
      <c r="S10" t="n">
        <v>116</v>
      </c>
      <c r="T10" t="n">
        <v>679</v>
      </c>
      <c r="U10" t="n">
        <v>13235</v>
      </c>
      <c r="V10" t="n">
        <v>482</v>
      </c>
      <c r="W10" t="n">
        <v>1658</v>
      </c>
      <c r="X10" t="n">
        <v>7992</v>
      </c>
      <c r="Y10" t="n">
        <v>197</v>
      </c>
      <c r="Z10" t="n">
        <v>2661</v>
      </c>
      <c r="AA10" t="n">
        <v>5243</v>
      </c>
      <c r="AB10" t="n">
        <v>197</v>
      </c>
      <c r="AC10" t="n">
        <v>2661</v>
      </c>
      <c r="AD10" t="n">
        <v>5243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829</v>
      </c>
      <c r="AL10" t="n">
        <v>15260</v>
      </c>
      <c r="AM10" t="n">
        <v>646</v>
      </c>
      <c r="AN10" t="n">
        <v>1688</v>
      </c>
      <c r="AO10" t="n">
        <v>10904</v>
      </c>
      <c r="AP10" t="n">
        <v>183</v>
      </c>
      <c r="AQ10" t="n">
        <v>2380</v>
      </c>
      <c r="AR10" t="n">
        <v>4356</v>
      </c>
      <c r="AS10" t="n">
        <v>182</v>
      </c>
      <c r="AT10" t="n">
        <v>2380</v>
      </c>
      <c r="AU10" t="n">
        <v>4332</v>
      </c>
      <c r="AV10" t="n">
        <v>0</v>
      </c>
      <c r="AW10" t="n">
        <v>0</v>
      </c>
      <c r="AX10" t="n">
        <v>0</v>
      </c>
      <c r="AY10" t="n">
        <v>1</v>
      </c>
      <c r="AZ10" t="n">
        <v>2400</v>
      </c>
      <c r="BA10" t="n">
        <v>24</v>
      </c>
      <c r="BB10" t="n">
        <v>908</v>
      </c>
      <c r="BC10" t="n">
        <v>18060</v>
      </c>
      <c r="BD10" t="n">
        <v>709</v>
      </c>
      <c r="BE10" t="n">
        <v>1720</v>
      </c>
      <c r="BF10" t="n">
        <v>12195</v>
      </c>
      <c r="BG10" t="n">
        <v>199</v>
      </c>
      <c r="BH10" t="n">
        <v>2947</v>
      </c>
      <c r="BI10" t="n">
        <v>5865</v>
      </c>
      <c r="BJ10" t="n">
        <v>182</v>
      </c>
      <c r="BK10" t="n">
        <v>2952</v>
      </c>
      <c r="BL10" t="n">
        <v>5373</v>
      </c>
      <c r="BM10" t="n">
        <v>0</v>
      </c>
      <c r="BN10" t="n">
        <v>0</v>
      </c>
      <c r="BO10" t="n">
        <v>0</v>
      </c>
      <c r="BP10" t="n">
        <v>17</v>
      </c>
      <c r="BQ10" t="n">
        <v>2894</v>
      </c>
      <c r="BR10" t="n">
        <v>492</v>
      </c>
      <c r="BS10" t="n">
        <v>1013</v>
      </c>
      <c r="BT10" t="n">
        <v>20219</v>
      </c>
      <c r="BU10" t="n">
        <v>794</v>
      </c>
      <c r="BV10" t="n">
        <v>1701</v>
      </c>
      <c r="BW10" t="n">
        <v>13506</v>
      </c>
      <c r="BX10" t="n">
        <v>219</v>
      </c>
      <c r="BY10" t="n">
        <v>3065</v>
      </c>
      <c r="BZ10" t="n">
        <v>6713</v>
      </c>
      <c r="CA10" t="n">
        <v>216</v>
      </c>
      <c r="CB10" t="n">
        <v>3079</v>
      </c>
      <c r="CC10" t="n">
        <v>6650</v>
      </c>
      <c r="CD10" t="n">
        <v>0</v>
      </c>
      <c r="CE10" t="n">
        <v>0</v>
      </c>
      <c r="CF10" t="n">
        <v>0</v>
      </c>
      <c r="CG10" t="n">
        <v>3</v>
      </c>
      <c r="CH10" t="n">
        <v>2100</v>
      </c>
      <c r="CI10" t="n">
        <v>63</v>
      </c>
      <c r="CJ10" t="n">
        <v>908</v>
      </c>
      <c r="CK10" t="n">
        <v>17356</v>
      </c>
      <c r="CL10" t="n">
        <v>689</v>
      </c>
      <c r="CM10" t="n">
        <v>1538</v>
      </c>
      <c r="CN10" t="n">
        <v>10597</v>
      </c>
      <c r="CO10" t="n">
        <v>219</v>
      </c>
      <c r="CP10" t="n">
        <v>3086</v>
      </c>
      <c r="CQ10" t="n">
        <v>6759</v>
      </c>
      <c r="CR10" t="n">
        <v>218</v>
      </c>
      <c r="CS10" t="n">
        <v>3092</v>
      </c>
      <c r="CT10" t="n">
        <v>6740</v>
      </c>
      <c r="CU10" t="n">
        <v>0</v>
      </c>
      <c r="CV10" t="n">
        <v>0</v>
      </c>
      <c r="CW10" t="n">
        <v>0</v>
      </c>
      <c r="CX10" t="n">
        <v>1</v>
      </c>
      <c r="CY10" t="n">
        <v>1900</v>
      </c>
      <c r="CZ10" t="n">
        <v>19</v>
      </c>
      <c r="DA10" t="n">
        <v>896</v>
      </c>
      <c r="DB10" t="n">
        <v>13334</v>
      </c>
      <c r="DC10" t="n">
        <v>662</v>
      </c>
      <c r="DD10" t="n">
        <v>895</v>
      </c>
      <c r="DE10" t="n">
        <v>5925</v>
      </c>
      <c r="DF10" t="n">
        <v>234</v>
      </c>
      <c r="DG10" t="n">
        <v>3166</v>
      </c>
      <c r="DH10" t="n">
        <v>7409</v>
      </c>
      <c r="DI10" t="n">
        <v>233</v>
      </c>
      <c r="DJ10" t="n">
        <v>3172</v>
      </c>
      <c r="DK10" t="n">
        <v>7391</v>
      </c>
      <c r="DL10" t="n">
        <v>0</v>
      </c>
      <c r="DM10" t="n">
        <v>0</v>
      </c>
      <c r="DN10" t="n">
        <v>0</v>
      </c>
      <c r="DO10" t="n">
        <v>1</v>
      </c>
      <c r="DP10" t="n">
        <v>1750</v>
      </c>
      <c r="DQ10" t="n">
        <v>18</v>
      </c>
      <c r="DR10" t="n">
        <v>1120</v>
      </c>
      <c r="DS10" t="n">
        <v>15113</v>
      </c>
      <c r="DT10" t="n">
        <v>887</v>
      </c>
      <c r="DU10" t="n">
        <v>1156</v>
      </c>
      <c r="DV10" t="n">
        <v>10254</v>
      </c>
      <c r="DW10" t="n">
        <v>233</v>
      </c>
      <c r="DX10" t="n">
        <v>2085</v>
      </c>
      <c r="DY10" t="n">
        <v>4859</v>
      </c>
      <c r="DZ10" t="n">
        <v>232</v>
      </c>
      <c r="EA10" t="n">
        <v>2087</v>
      </c>
      <c r="EB10" t="n">
        <v>4842</v>
      </c>
      <c r="EC10" t="n">
        <v>0</v>
      </c>
      <c r="ED10" t="n">
        <v>0</v>
      </c>
      <c r="EE10" t="n">
        <v>0</v>
      </c>
      <c r="EF10" t="n">
        <v>1</v>
      </c>
      <c r="EG10" t="n">
        <v>1690</v>
      </c>
      <c r="EH10" t="n">
        <v>17</v>
      </c>
      <c r="EI10" t="n">
        <v>1124</v>
      </c>
      <c r="EJ10" t="n">
        <v>20162</v>
      </c>
      <c r="EK10" t="n">
        <v>894</v>
      </c>
      <c r="EL10" t="n">
        <v>1559</v>
      </c>
      <c r="EM10" t="n">
        <v>13937</v>
      </c>
      <c r="EN10" t="n">
        <v>230</v>
      </c>
      <c r="EO10" t="n">
        <v>2707</v>
      </c>
      <c r="EP10" t="n">
        <v>6225</v>
      </c>
      <c r="EQ10" t="n">
        <v>230</v>
      </c>
      <c r="ER10" t="n">
        <v>2706</v>
      </c>
      <c r="ES10" t="n">
        <v>6225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1140</v>
      </c>
      <c r="FA10" t="n">
        <v>22664</v>
      </c>
      <c r="FB10" t="n">
        <v>931</v>
      </c>
      <c r="FC10" t="n">
        <v>1724</v>
      </c>
      <c r="FD10" t="n">
        <v>16050</v>
      </c>
      <c r="FE10" t="n">
        <v>209</v>
      </c>
      <c r="FF10" t="n">
        <v>3165</v>
      </c>
      <c r="FG10" t="n">
        <v>6614</v>
      </c>
      <c r="FH10" t="n">
        <v>207</v>
      </c>
      <c r="FI10" t="n">
        <v>3184</v>
      </c>
      <c r="FJ10" t="n">
        <v>6590</v>
      </c>
      <c r="FK10" t="n">
        <v>0</v>
      </c>
      <c r="FL10" t="n">
        <v>0</v>
      </c>
      <c r="FM10" t="n">
        <v>0</v>
      </c>
      <c r="FN10" t="n">
        <v>2</v>
      </c>
      <c r="FO10" t="n">
        <v>1202</v>
      </c>
      <c r="FP10" t="n">
        <v>24</v>
      </c>
      <c r="FQ10" t="n">
        <v>1002</v>
      </c>
      <c r="FR10" t="n">
        <v>15055</v>
      </c>
      <c r="FS10" t="n">
        <v>801</v>
      </c>
      <c r="FT10" t="n">
        <v>1256</v>
      </c>
      <c r="FU10" t="n">
        <v>10061</v>
      </c>
      <c r="FV10" t="n">
        <v>201</v>
      </c>
      <c r="FW10" t="n">
        <v>2485</v>
      </c>
      <c r="FX10" t="n">
        <v>4994</v>
      </c>
      <c r="FY10" t="n">
        <v>198</v>
      </c>
      <c r="FZ10" t="n">
        <v>2500</v>
      </c>
      <c r="GA10" t="n">
        <v>4950</v>
      </c>
      <c r="GB10" t="n">
        <v>0</v>
      </c>
      <c r="GC10" t="n">
        <v>0</v>
      </c>
      <c r="GD10" t="n">
        <v>0</v>
      </c>
      <c r="GE10" t="n">
        <v>3</v>
      </c>
      <c r="GF10" t="n">
        <v>1450</v>
      </c>
      <c r="GG10" t="n">
        <v>44</v>
      </c>
      <c r="GH10" t="n">
        <v>1004</v>
      </c>
      <c r="GI10" t="n">
        <v>18853</v>
      </c>
      <c r="GJ10" t="n">
        <v>833</v>
      </c>
      <c r="GK10" t="n">
        <v>1691</v>
      </c>
      <c r="GL10" t="n">
        <v>14086</v>
      </c>
      <c r="GM10" t="n">
        <v>171</v>
      </c>
      <c r="GN10" t="n">
        <v>2788</v>
      </c>
      <c r="GO10" t="n">
        <v>4767</v>
      </c>
      <c r="GP10" t="n">
        <v>166</v>
      </c>
      <c r="GQ10" t="n">
        <v>2827</v>
      </c>
      <c r="GR10" t="n">
        <v>4693</v>
      </c>
      <c r="GS10" t="n">
        <v>0</v>
      </c>
      <c r="GT10" t="n">
        <v>0</v>
      </c>
      <c r="GU10" t="n">
        <v>0</v>
      </c>
      <c r="GV10" t="n">
        <v>5</v>
      </c>
      <c r="GW10" t="n">
        <v>1479</v>
      </c>
      <c r="GX10" t="n">
        <v>74</v>
      </c>
      <c r="GY10" t="n">
        <v>973</v>
      </c>
      <c r="GZ10" t="n">
        <v>16488</v>
      </c>
      <c r="HA10" t="n">
        <v>826</v>
      </c>
      <c r="HB10" t="n">
        <v>1536</v>
      </c>
      <c r="HC10" t="n">
        <v>12688</v>
      </c>
      <c r="HD10" t="n">
        <v>147</v>
      </c>
      <c r="HE10" t="n">
        <v>2583</v>
      </c>
      <c r="HF10" t="n">
        <v>3800</v>
      </c>
      <c r="HG10" t="n">
        <v>144</v>
      </c>
      <c r="HH10" t="n">
        <v>2599</v>
      </c>
      <c r="HI10" t="n">
        <v>3748</v>
      </c>
      <c r="HJ10" t="n">
        <v>0</v>
      </c>
      <c r="HK10" t="n">
        <v>0</v>
      </c>
      <c r="HL10" t="n">
        <v>0</v>
      </c>
      <c r="HM10" t="n">
        <v>3</v>
      </c>
      <c r="HN10" t="n">
        <v>1771</v>
      </c>
      <c r="HO10" t="n">
        <v>52</v>
      </c>
      <c r="HP10" t="n">
        <v>840</v>
      </c>
      <c r="HQ10" t="n">
        <v>11810</v>
      </c>
      <c r="HR10" t="n">
        <v>680</v>
      </c>
      <c r="HS10" t="n">
        <v>1054</v>
      </c>
      <c r="HT10" t="n">
        <v>7165</v>
      </c>
      <c r="HU10" t="n">
        <v>160</v>
      </c>
      <c r="HV10" t="n">
        <v>2905</v>
      </c>
      <c r="HW10" t="n">
        <v>4645</v>
      </c>
      <c r="HX10" t="n">
        <v>155</v>
      </c>
      <c r="HY10" t="n">
        <v>2975</v>
      </c>
      <c r="HZ10" t="n">
        <v>4615</v>
      </c>
      <c r="IA10" t="n">
        <v>0</v>
      </c>
      <c r="IB10" t="n">
        <v>0</v>
      </c>
      <c r="IC10" t="n">
        <v>0</v>
      </c>
      <c r="ID10" t="n">
        <v>5</v>
      </c>
      <c r="IE10" t="n">
        <v>626</v>
      </c>
      <c r="IF10" t="n">
        <v>30</v>
      </c>
      <c r="IG10" t="n">
        <v>940</v>
      </c>
      <c r="IH10" t="n">
        <v>14978</v>
      </c>
      <c r="II10" t="n">
        <v>744</v>
      </c>
      <c r="IJ10" t="n">
        <v>1501</v>
      </c>
      <c r="IK10" t="n">
        <v>11163</v>
      </c>
      <c r="IL10" t="n">
        <v>196</v>
      </c>
      <c r="IM10" t="n">
        <v>1944</v>
      </c>
      <c r="IN10" t="n">
        <v>3815</v>
      </c>
      <c r="IO10" t="n">
        <v>180</v>
      </c>
      <c r="IP10" t="n">
        <v>2067</v>
      </c>
      <c r="IQ10" t="n">
        <v>3711</v>
      </c>
      <c r="IR10" t="n">
        <v>0</v>
      </c>
      <c r="IS10" t="n">
        <v>0</v>
      </c>
      <c r="IT10" t="n">
        <v>0</v>
      </c>
      <c r="IU10" t="n">
        <v>17</v>
      </c>
      <c r="IV10" t="n">
        <v>622</v>
      </c>
      <c r="IW10" t="n">
        <v>104</v>
      </c>
      <c r="IX10" t="n">
        <v>1046</v>
      </c>
      <c r="IY10" t="n">
        <v>17052</v>
      </c>
      <c r="IZ10" t="n">
        <v>869</v>
      </c>
      <c r="JA10" t="n">
        <v>1532</v>
      </c>
      <c r="JB10" t="n">
        <v>13313</v>
      </c>
      <c r="JC10" t="n">
        <v>177</v>
      </c>
      <c r="JD10" t="n">
        <v>2110</v>
      </c>
      <c r="JE10" t="n">
        <v>3739</v>
      </c>
      <c r="JF10" t="n">
        <v>174</v>
      </c>
      <c r="JG10" t="n">
        <v>2148</v>
      </c>
      <c r="JH10" t="n">
        <v>3728</v>
      </c>
      <c r="JI10" t="n">
        <v>0</v>
      </c>
      <c r="JJ10" t="n">
        <v>0</v>
      </c>
      <c r="JK10" t="n">
        <v>0</v>
      </c>
      <c r="JL10" t="n">
        <v>4</v>
      </c>
      <c r="JM10" t="n">
        <v>294</v>
      </c>
      <c r="JN10" t="n">
        <v>11</v>
      </c>
      <c r="JO10" t="n">
        <v>884</v>
      </c>
      <c r="JP10" t="n">
        <v>15693</v>
      </c>
      <c r="JQ10" t="n">
        <v>711</v>
      </c>
      <c r="JR10" t="n">
        <v>1510</v>
      </c>
      <c r="JS10" t="n">
        <v>10729</v>
      </c>
      <c r="JT10" t="n">
        <v>174</v>
      </c>
      <c r="JU10" t="n">
        <v>2856</v>
      </c>
      <c r="JV10" t="n">
        <v>4964</v>
      </c>
      <c r="JW10" t="n">
        <v>169</v>
      </c>
      <c r="JX10" t="n">
        <v>2923</v>
      </c>
      <c r="JY10" t="n">
        <v>4951</v>
      </c>
      <c r="JZ10" t="n">
        <v>0</v>
      </c>
      <c r="KA10" t="n">
        <v>0</v>
      </c>
      <c r="KB10" t="n">
        <v>0</v>
      </c>
      <c r="KC10" t="n">
        <v>4</v>
      </c>
      <c r="KD10" t="n">
        <v>303</v>
      </c>
      <c r="KE10" t="n">
        <v>13</v>
      </c>
      <c r="KF10" t="n">
        <v>846</v>
      </c>
      <c r="KG10" t="n">
        <v>13930</v>
      </c>
      <c r="KH10" t="n">
        <v>698</v>
      </c>
      <c r="KI10" t="n">
        <v>1494</v>
      </c>
      <c r="KJ10" t="n">
        <v>10429</v>
      </c>
      <c r="KK10" t="n">
        <v>148</v>
      </c>
      <c r="KL10" t="n">
        <v>2366</v>
      </c>
      <c r="KM10" t="n">
        <v>3501</v>
      </c>
      <c r="KN10" t="n">
        <v>143</v>
      </c>
      <c r="KO10" t="n">
        <v>2374</v>
      </c>
      <c r="KP10" t="n">
        <v>3386</v>
      </c>
      <c r="KQ10" t="n">
        <v>0</v>
      </c>
      <c r="KR10" t="n">
        <v>0</v>
      </c>
      <c r="KS10" t="n">
        <v>0</v>
      </c>
      <c r="KT10" t="n">
        <v>5</v>
      </c>
      <c r="KU10" t="n">
        <v>2148</v>
      </c>
      <c r="KV10" t="n">
        <v>115</v>
      </c>
      <c r="KW10" t="n">
        <v>786</v>
      </c>
      <c r="KX10" t="n">
        <v>12915</v>
      </c>
      <c r="KY10" t="n">
        <v>598</v>
      </c>
      <c r="KZ10" t="n">
        <v>1314</v>
      </c>
      <c r="LA10" t="n">
        <v>7858</v>
      </c>
      <c r="LB10" t="n">
        <v>188</v>
      </c>
      <c r="LC10" t="n">
        <v>2694</v>
      </c>
      <c r="LD10" t="n">
        <v>5057</v>
      </c>
      <c r="LE10" t="n">
        <v>184</v>
      </c>
      <c r="LF10" t="n">
        <v>2727</v>
      </c>
      <c r="LG10" t="n">
        <v>5028</v>
      </c>
      <c r="LH10" t="n">
        <v>0</v>
      </c>
      <c r="LI10" t="n">
        <v>0</v>
      </c>
      <c r="LJ10" t="n">
        <v>0</v>
      </c>
      <c r="LK10" t="n">
        <v>3</v>
      </c>
      <c r="LL10" t="n">
        <v>852</v>
      </c>
      <c r="LM10" t="n">
        <v>29</v>
      </c>
      <c r="LN10" t="n">
        <v>714</v>
      </c>
      <c r="LO10" t="n">
        <v>11914</v>
      </c>
      <c r="LP10" t="n">
        <v>531</v>
      </c>
      <c r="LQ10" t="n">
        <v>1334</v>
      </c>
      <c r="LR10" t="n">
        <v>7079</v>
      </c>
      <c r="LS10" t="n">
        <v>184</v>
      </c>
      <c r="LT10" t="n">
        <v>2633</v>
      </c>
      <c r="LU10" t="n">
        <v>4835</v>
      </c>
      <c r="LV10" t="n">
        <v>175</v>
      </c>
      <c r="LW10" t="n">
        <v>2719</v>
      </c>
      <c r="LX10" t="n">
        <v>4763</v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n">
        <v>8</v>
      </c>
      <c r="MC10" t="n">
        <v>850</v>
      </c>
      <c r="MD10" t="n">
        <v>72</v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n">
        <v>149</v>
      </c>
      <c r="MN10" t="n">
        <v>2940</v>
      </c>
      <c r="MO10" t="n">
        <v>4370</v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n">
        <v>216</v>
      </c>
      <c r="NE10" t="n">
        <v>2224</v>
      </c>
      <c r="NF10" t="n">
        <v>4814</v>
      </c>
      <c r="NG10" t="inlineStr">
        <is>
          <t>-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</row>
    <row r="11">
      <c r="A11" t="inlineStr">
        <is>
          <t>대전광역시</t>
        </is>
      </c>
      <c r="B11" t="inlineStr">
        <is>
          <t>소계</t>
        </is>
      </c>
      <c r="C11" t="n">
        <v>166</v>
      </c>
      <c r="D11" t="n">
        <v>3733</v>
      </c>
      <c r="E11" t="n">
        <v>85</v>
      </c>
      <c r="F11" t="n">
        <v>1797</v>
      </c>
      <c r="G11" t="n">
        <v>1527</v>
      </c>
      <c r="H11" t="n">
        <v>81</v>
      </c>
      <c r="I11" t="n">
        <v>2723</v>
      </c>
      <c r="J11" t="n">
        <v>2206</v>
      </c>
      <c r="K11" t="n">
        <v>80</v>
      </c>
      <c r="L11" t="n">
        <v>2724</v>
      </c>
      <c r="M11" t="n">
        <v>2179</v>
      </c>
      <c r="N11" t="n">
        <v>0</v>
      </c>
      <c r="O11" t="n">
        <v>0</v>
      </c>
      <c r="P11" t="n">
        <v>0</v>
      </c>
      <c r="Q11" t="n">
        <v>1</v>
      </c>
      <c r="R11" t="n">
        <v>2700</v>
      </c>
      <c r="S11" t="n">
        <v>27</v>
      </c>
      <c r="T11" t="n">
        <v>109</v>
      </c>
      <c r="U11" t="n">
        <v>2343</v>
      </c>
      <c r="V11" t="n">
        <v>65</v>
      </c>
      <c r="W11" t="n">
        <v>1787</v>
      </c>
      <c r="X11" t="n">
        <v>1162</v>
      </c>
      <c r="Y11" t="n">
        <v>44</v>
      </c>
      <c r="Z11" t="n">
        <v>2684</v>
      </c>
      <c r="AA11" t="n">
        <v>1181</v>
      </c>
      <c r="AB11" t="n">
        <v>44</v>
      </c>
      <c r="AC11" t="n">
        <v>2685</v>
      </c>
      <c r="AD11" t="n">
        <v>1181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155</v>
      </c>
      <c r="AL11" t="n">
        <v>3284</v>
      </c>
      <c r="AM11" t="n">
        <v>103</v>
      </c>
      <c r="AN11" t="n">
        <v>1886</v>
      </c>
      <c r="AO11" t="n">
        <v>1943</v>
      </c>
      <c r="AP11" t="n">
        <v>52</v>
      </c>
      <c r="AQ11" t="n">
        <v>2579</v>
      </c>
      <c r="AR11" t="n">
        <v>1341</v>
      </c>
      <c r="AS11" t="n">
        <v>52</v>
      </c>
      <c r="AT11" t="n">
        <v>2580</v>
      </c>
      <c r="AU11" t="n">
        <v>1341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152</v>
      </c>
      <c r="BC11" t="n">
        <v>3543</v>
      </c>
      <c r="BD11" t="n">
        <v>93</v>
      </c>
      <c r="BE11" t="n">
        <v>1878</v>
      </c>
      <c r="BF11" t="n">
        <v>1747</v>
      </c>
      <c r="BG11" t="n">
        <v>59</v>
      </c>
      <c r="BH11" t="n">
        <v>3044</v>
      </c>
      <c r="BI11" t="n">
        <v>1796</v>
      </c>
      <c r="BJ11" t="n">
        <v>59</v>
      </c>
      <c r="BK11" t="n">
        <v>3043</v>
      </c>
      <c r="BL11" t="n">
        <v>1796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149</v>
      </c>
      <c r="BT11" t="n">
        <v>2996</v>
      </c>
      <c r="BU11" t="n">
        <v>79</v>
      </c>
      <c r="BV11" t="n">
        <v>1834</v>
      </c>
      <c r="BW11" t="n">
        <v>1449</v>
      </c>
      <c r="BX11" t="n">
        <v>70</v>
      </c>
      <c r="BY11" t="n">
        <v>2210</v>
      </c>
      <c r="BZ11" t="n">
        <v>1547</v>
      </c>
      <c r="CA11" t="n">
        <v>70</v>
      </c>
      <c r="CB11" t="n">
        <v>2210</v>
      </c>
      <c r="CC11" t="n">
        <v>1547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149</v>
      </c>
      <c r="CK11" t="n">
        <v>2497</v>
      </c>
      <c r="CL11" t="n">
        <v>82</v>
      </c>
      <c r="CM11" t="n">
        <v>1445</v>
      </c>
      <c r="CN11" t="n">
        <v>1185</v>
      </c>
      <c r="CO11" t="n">
        <v>67</v>
      </c>
      <c r="CP11" t="n">
        <v>1958</v>
      </c>
      <c r="CQ11" t="n">
        <v>1312</v>
      </c>
      <c r="CR11" t="n">
        <v>63</v>
      </c>
      <c r="CS11" t="n">
        <v>1963</v>
      </c>
      <c r="CT11" t="n">
        <v>1237</v>
      </c>
      <c r="CU11" t="n">
        <v>0</v>
      </c>
      <c r="CV11" t="n">
        <v>0</v>
      </c>
      <c r="CW11" t="n">
        <v>0</v>
      </c>
      <c r="CX11" t="n">
        <v>4</v>
      </c>
      <c r="CY11" t="n">
        <v>1864</v>
      </c>
      <c r="CZ11" t="n">
        <v>75</v>
      </c>
      <c r="DA11" t="n">
        <v>155</v>
      </c>
      <c r="DB11" t="n">
        <v>2557</v>
      </c>
      <c r="DC11" t="n">
        <v>64</v>
      </c>
      <c r="DD11" t="n">
        <v>1537</v>
      </c>
      <c r="DE11" t="n">
        <v>984</v>
      </c>
      <c r="DF11" t="n">
        <v>91</v>
      </c>
      <c r="DG11" t="n">
        <v>1729</v>
      </c>
      <c r="DH11" t="n">
        <v>1573</v>
      </c>
      <c r="DI11" t="n">
        <v>91</v>
      </c>
      <c r="DJ11" t="n">
        <v>1729</v>
      </c>
      <c r="DK11" t="n">
        <v>1573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137</v>
      </c>
      <c r="DS11" t="n">
        <v>2196</v>
      </c>
      <c r="DT11" t="n">
        <v>84</v>
      </c>
      <c r="DU11" t="n">
        <v>1354</v>
      </c>
      <c r="DV11" t="n">
        <v>1137</v>
      </c>
      <c r="DW11" t="n">
        <v>53</v>
      </c>
      <c r="DX11" t="n">
        <v>1998</v>
      </c>
      <c r="DY11" t="n">
        <v>1059</v>
      </c>
      <c r="DZ11" t="n">
        <v>53</v>
      </c>
      <c r="EA11" t="n">
        <v>1998</v>
      </c>
      <c r="EB11" t="n">
        <v>1059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161</v>
      </c>
      <c r="EJ11" t="n">
        <v>3104</v>
      </c>
      <c r="EK11" t="n">
        <v>92</v>
      </c>
      <c r="EL11" t="n">
        <v>1461</v>
      </c>
      <c r="EM11" t="n">
        <v>1344</v>
      </c>
      <c r="EN11" t="n">
        <v>69</v>
      </c>
      <c r="EO11" t="n">
        <v>2551</v>
      </c>
      <c r="EP11" t="n">
        <v>1760</v>
      </c>
      <c r="EQ11" t="n">
        <v>67</v>
      </c>
      <c r="ER11" t="n">
        <v>2579</v>
      </c>
      <c r="ES11" t="n">
        <v>1728</v>
      </c>
      <c r="ET11" t="n">
        <v>0</v>
      </c>
      <c r="EU11" t="n">
        <v>0</v>
      </c>
      <c r="EV11" t="n">
        <v>0</v>
      </c>
      <c r="EW11" t="n">
        <v>2</v>
      </c>
      <c r="EX11" t="n">
        <v>1619</v>
      </c>
      <c r="EY11" t="n">
        <v>32</v>
      </c>
      <c r="EZ11" t="n">
        <v>130</v>
      </c>
      <c r="FA11" t="n">
        <v>2667</v>
      </c>
      <c r="FB11" t="n">
        <v>79</v>
      </c>
      <c r="FC11" t="n">
        <v>1480</v>
      </c>
      <c r="FD11" t="n">
        <v>1169</v>
      </c>
      <c r="FE11" t="n">
        <v>51</v>
      </c>
      <c r="FF11" t="n">
        <v>2937</v>
      </c>
      <c r="FG11" t="n">
        <v>1498</v>
      </c>
      <c r="FH11" t="n">
        <v>50</v>
      </c>
      <c r="FI11" t="n">
        <v>2964</v>
      </c>
      <c r="FJ11" t="n">
        <v>1482</v>
      </c>
      <c r="FK11" t="n">
        <v>0</v>
      </c>
      <c r="FL11" t="n">
        <v>0</v>
      </c>
      <c r="FM11" t="n">
        <v>0</v>
      </c>
      <c r="FN11" t="n">
        <v>1</v>
      </c>
      <c r="FO11" t="n">
        <v>1610</v>
      </c>
      <c r="FP11" t="n">
        <v>16</v>
      </c>
      <c r="FQ11" t="n">
        <v>120</v>
      </c>
      <c r="FR11" t="n">
        <v>2164</v>
      </c>
      <c r="FS11" t="n">
        <v>68</v>
      </c>
      <c r="FT11" t="n">
        <v>1514</v>
      </c>
      <c r="FU11" t="n">
        <v>1030</v>
      </c>
      <c r="FV11" t="n">
        <v>52</v>
      </c>
      <c r="FW11" t="n">
        <v>2181</v>
      </c>
      <c r="FX11" t="n">
        <v>1134</v>
      </c>
      <c r="FY11" t="n">
        <v>50</v>
      </c>
      <c r="FZ11" t="n">
        <v>2204</v>
      </c>
      <c r="GA11" t="n">
        <v>1102</v>
      </c>
      <c r="GB11" t="n">
        <v>0</v>
      </c>
      <c r="GC11" t="n">
        <v>0</v>
      </c>
      <c r="GD11" t="n">
        <v>0</v>
      </c>
      <c r="GE11" t="n">
        <v>2</v>
      </c>
      <c r="GF11" t="n">
        <v>1624</v>
      </c>
      <c r="GG11" t="n">
        <v>32</v>
      </c>
      <c r="GH11" t="n">
        <v>135</v>
      </c>
      <c r="GI11" t="n">
        <v>2512</v>
      </c>
      <c r="GJ11" t="n">
        <v>82</v>
      </c>
      <c r="GK11" t="n">
        <v>1370</v>
      </c>
      <c r="GL11" t="n">
        <v>1123</v>
      </c>
      <c r="GM11" t="n">
        <v>53</v>
      </c>
      <c r="GN11" t="n">
        <v>2621</v>
      </c>
      <c r="GO11" t="n">
        <v>1389</v>
      </c>
      <c r="GP11" t="n">
        <v>50</v>
      </c>
      <c r="GQ11" t="n">
        <v>2679</v>
      </c>
      <c r="GR11" t="n">
        <v>1340</v>
      </c>
      <c r="GS11" t="n">
        <v>0</v>
      </c>
      <c r="GT11" t="n">
        <v>0</v>
      </c>
      <c r="GU11" t="n">
        <v>0</v>
      </c>
      <c r="GV11" t="n">
        <v>3</v>
      </c>
      <c r="GW11" t="n">
        <v>1629</v>
      </c>
      <c r="GX11" t="n">
        <v>49</v>
      </c>
      <c r="GY11" t="n">
        <v>94</v>
      </c>
      <c r="GZ11" t="n">
        <v>1549</v>
      </c>
      <c r="HA11" t="n">
        <v>56</v>
      </c>
      <c r="HB11" t="n">
        <v>1466</v>
      </c>
      <c r="HC11" t="n">
        <v>818</v>
      </c>
      <c r="HD11" t="n">
        <v>38</v>
      </c>
      <c r="HE11" t="n">
        <v>1903</v>
      </c>
      <c r="HF11" t="n">
        <v>731</v>
      </c>
      <c r="HG11" t="n">
        <v>36</v>
      </c>
      <c r="HH11" t="n">
        <v>1884</v>
      </c>
      <c r="HI11" t="n">
        <v>682</v>
      </c>
      <c r="HJ11" t="n">
        <v>0</v>
      </c>
      <c r="HK11" t="n">
        <v>0</v>
      </c>
      <c r="HL11" t="n">
        <v>0</v>
      </c>
      <c r="HM11" t="n">
        <v>2</v>
      </c>
      <c r="HN11" t="n">
        <v>2198</v>
      </c>
      <c r="HO11" t="n">
        <v>49</v>
      </c>
      <c r="HP11" t="n">
        <v>87</v>
      </c>
      <c r="HQ11" t="n">
        <v>1555</v>
      </c>
      <c r="HR11" t="n">
        <v>44</v>
      </c>
      <c r="HS11" t="n">
        <v>1435</v>
      </c>
      <c r="HT11" t="n">
        <v>629</v>
      </c>
      <c r="HU11" t="n">
        <v>44</v>
      </c>
      <c r="HV11" t="n">
        <v>2127</v>
      </c>
      <c r="HW11" t="n">
        <v>926</v>
      </c>
      <c r="HX11" t="n">
        <v>41</v>
      </c>
      <c r="HY11" t="n">
        <v>2129</v>
      </c>
      <c r="HZ11" t="n">
        <v>882</v>
      </c>
      <c r="IA11" t="n">
        <v>0</v>
      </c>
      <c r="IB11" t="n">
        <v>0</v>
      </c>
      <c r="IC11" t="n">
        <v>0</v>
      </c>
      <c r="ID11" t="n">
        <v>2</v>
      </c>
      <c r="IE11" t="n">
        <v>2130</v>
      </c>
      <c r="IF11" t="n">
        <v>44</v>
      </c>
      <c r="IG11" t="n">
        <v>114</v>
      </c>
      <c r="IH11" t="n">
        <v>2428</v>
      </c>
      <c r="II11" t="n">
        <v>62</v>
      </c>
      <c r="IJ11" t="n">
        <v>1454</v>
      </c>
      <c r="IK11" t="n">
        <v>902</v>
      </c>
      <c r="IL11" t="n">
        <v>52</v>
      </c>
      <c r="IM11" t="n">
        <v>2913</v>
      </c>
      <c r="IN11" t="n">
        <v>1526</v>
      </c>
      <c r="IO11" t="n">
        <v>52</v>
      </c>
      <c r="IP11" t="n">
        <v>2917</v>
      </c>
      <c r="IQ11" t="n">
        <v>1522</v>
      </c>
      <c r="IR11" t="n">
        <v>0</v>
      </c>
      <c r="IS11" t="n">
        <v>0</v>
      </c>
      <c r="IT11" t="n">
        <v>0</v>
      </c>
      <c r="IU11" t="n">
        <v>0</v>
      </c>
      <c r="IV11" t="n">
        <v>1820</v>
      </c>
      <c r="IW11" t="n">
        <v>4</v>
      </c>
      <c r="IX11" t="n">
        <v>122</v>
      </c>
      <c r="IY11" t="n">
        <v>2093</v>
      </c>
      <c r="IZ11" t="n">
        <v>71</v>
      </c>
      <c r="JA11" t="n">
        <v>1397</v>
      </c>
      <c r="JB11" t="n">
        <v>993</v>
      </c>
      <c r="JC11" t="n">
        <v>51</v>
      </c>
      <c r="JD11" t="n">
        <v>2157</v>
      </c>
      <c r="JE11" t="n">
        <v>1100</v>
      </c>
      <c r="JF11" t="n">
        <v>45</v>
      </c>
      <c r="JG11" t="n">
        <v>2199</v>
      </c>
      <c r="JH11" t="n">
        <v>997</v>
      </c>
      <c r="JI11" t="n">
        <v>0</v>
      </c>
      <c r="JJ11" t="n">
        <v>0</v>
      </c>
      <c r="JK11" t="n">
        <v>0</v>
      </c>
      <c r="JL11" t="n">
        <v>6</v>
      </c>
      <c r="JM11" t="n">
        <v>1807</v>
      </c>
      <c r="JN11" t="n">
        <v>103</v>
      </c>
      <c r="JO11" t="n">
        <v>156</v>
      </c>
      <c r="JP11" t="n">
        <v>2667</v>
      </c>
      <c r="JQ11" t="n">
        <v>97</v>
      </c>
      <c r="JR11" t="n">
        <v>1495</v>
      </c>
      <c r="JS11" t="n">
        <v>1452</v>
      </c>
      <c r="JT11" t="n">
        <v>59</v>
      </c>
      <c r="JU11" t="n">
        <v>2053</v>
      </c>
      <c r="JV11" t="n">
        <v>1215</v>
      </c>
      <c r="JW11" t="n">
        <v>49</v>
      </c>
      <c r="JX11" t="n">
        <v>1985</v>
      </c>
      <c r="JY11" t="n">
        <v>967</v>
      </c>
      <c r="JZ11" t="n">
        <v>0</v>
      </c>
      <c r="KA11" t="n">
        <v>0</v>
      </c>
      <c r="KB11" t="n">
        <v>0</v>
      </c>
      <c r="KC11" t="n">
        <v>10</v>
      </c>
      <c r="KD11" t="n">
        <v>2369</v>
      </c>
      <c r="KE11" t="n">
        <v>248</v>
      </c>
      <c r="KF11" t="n">
        <v>122</v>
      </c>
      <c r="KG11" t="n">
        <v>1971</v>
      </c>
      <c r="KH11" t="n">
        <v>86</v>
      </c>
      <c r="KI11" t="n">
        <v>1409</v>
      </c>
      <c r="KJ11" t="n">
        <v>1216</v>
      </c>
      <c r="KK11" t="n">
        <v>36</v>
      </c>
      <c r="KL11" t="n">
        <v>2099</v>
      </c>
      <c r="KM11" t="n">
        <v>755</v>
      </c>
      <c r="KN11" t="n">
        <v>34</v>
      </c>
      <c r="KO11" t="n">
        <v>2081</v>
      </c>
      <c r="KP11" t="n">
        <v>699</v>
      </c>
      <c r="KQ11" t="n">
        <v>0</v>
      </c>
      <c r="KR11" t="n">
        <v>0</v>
      </c>
      <c r="KS11" t="n">
        <v>0</v>
      </c>
      <c r="KT11" t="n">
        <v>2</v>
      </c>
      <c r="KU11" t="n">
        <v>2372</v>
      </c>
      <c r="KV11" t="n">
        <v>56</v>
      </c>
      <c r="KW11" t="n">
        <v>133</v>
      </c>
      <c r="KX11" t="n">
        <v>2409</v>
      </c>
      <c r="KY11" t="n">
        <v>76</v>
      </c>
      <c r="KZ11" t="n">
        <v>1407</v>
      </c>
      <c r="LA11" t="n">
        <v>1068</v>
      </c>
      <c r="LB11" t="n">
        <v>57</v>
      </c>
      <c r="LC11" t="n">
        <v>2344</v>
      </c>
      <c r="LD11" t="n">
        <v>1341</v>
      </c>
      <c r="LE11" t="n">
        <v>55</v>
      </c>
      <c r="LF11" t="n">
        <v>2343</v>
      </c>
      <c r="LG11" t="n">
        <v>1288</v>
      </c>
      <c r="LH11" t="n">
        <v>0</v>
      </c>
      <c r="LI11" t="n">
        <v>0</v>
      </c>
      <c r="LJ11" t="n">
        <v>0</v>
      </c>
      <c r="LK11" t="n">
        <v>2</v>
      </c>
      <c r="LL11" t="n">
        <v>2387</v>
      </c>
      <c r="LM11" t="n">
        <v>53</v>
      </c>
      <c r="LN11" t="n">
        <v>118</v>
      </c>
      <c r="LO11" t="n">
        <v>1964</v>
      </c>
      <c r="LP11" t="n">
        <v>70</v>
      </c>
      <c r="LQ11" t="n">
        <v>1407</v>
      </c>
      <c r="LR11" t="n">
        <v>989</v>
      </c>
      <c r="LS11" t="n">
        <v>48</v>
      </c>
      <c r="LT11" t="n">
        <v>2037</v>
      </c>
      <c r="LU11" t="n">
        <v>975</v>
      </c>
      <c r="LV11" t="n">
        <v>46</v>
      </c>
      <c r="LW11" t="n">
        <v>2021</v>
      </c>
      <c r="LX11" t="n">
        <v>925</v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n">
        <v>2</v>
      </c>
      <c r="MC11" t="n">
        <v>2387</v>
      </c>
      <c r="MD11" t="n">
        <v>50</v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n">
        <v>44</v>
      </c>
      <c r="MN11" t="n">
        <v>2571</v>
      </c>
      <c r="MO11" t="n">
        <v>1128</v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n">
        <v>29</v>
      </c>
      <c r="NE11" t="n">
        <v>3047</v>
      </c>
      <c r="NF11" t="n">
        <v>885</v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</row>
    <row r="12">
      <c r="A12" t="inlineStr">
        <is>
          <t>울산광역시</t>
        </is>
      </c>
      <c r="B12" t="inlineStr">
        <is>
          <t>소계</t>
        </is>
      </c>
      <c r="C12" t="n">
        <v>167</v>
      </c>
      <c r="D12" t="n">
        <v>3975</v>
      </c>
      <c r="E12" t="n">
        <v>103</v>
      </c>
      <c r="F12" t="n">
        <v>1893</v>
      </c>
      <c r="G12" t="n">
        <v>1950</v>
      </c>
      <c r="H12" t="n">
        <v>64</v>
      </c>
      <c r="I12" t="n">
        <v>3164</v>
      </c>
      <c r="J12" t="n">
        <v>2025</v>
      </c>
      <c r="K12" t="n">
        <v>59</v>
      </c>
      <c r="L12" t="n">
        <v>3165</v>
      </c>
      <c r="M12" t="n">
        <v>1867</v>
      </c>
      <c r="N12" t="n">
        <v>0</v>
      </c>
      <c r="O12" t="n">
        <v>0</v>
      </c>
      <c r="P12" t="n">
        <v>0</v>
      </c>
      <c r="Q12" t="n">
        <v>5</v>
      </c>
      <c r="R12" t="n">
        <v>3160</v>
      </c>
      <c r="S12" t="n">
        <v>158</v>
      </c>
      <c r="T12" t="n">
        <v>171</v>
      </c>
      <c r="U12" t="n">
        <v>4560</v>
      </c>
      <c r="V12" t="n">
        <v>98</v>
      </c>
      <c r="W12" t="n">
        <v>1835</v>
      </c>
      <c r="X12" t="n">
        <v>1798</v>
      </c>
      <c r="Y12" t="n">
        <v>73</v>
      </c>
      <c r="Z12" t="n">
        <v>3784</v>
      </c>
      <c r="AA12" t="n">
        <v>2762</v>
      </c>
      <c r="AB12" t="n">
        <v>69</v>
      </c>
      <c r="AC12" t="n">
        <v>3828</v>
      </c>
      <c r="AD12" t="n">
        <v>2641</v>
      </c>
      <c r="AE12" t="n">
        <v>0</v>
      </c>
      <c r="AF12" t="n">
        <v>0</v>
      </c>
      <c r="AG12" t="n">
        <v>0</v>
      </c>
      <c r="AH12" t="n">
        <v>4</v>
      </c>
      <c r="AI12" t="n">
        <v>3025</v>
      </c>
      <c r="AJ12" t="n">
        <v>121</v>
      </c>
      <c r="AK12" t="n">
        <v>190</v>
      </c>
      <c r="AL12" t="n">
        <v>4441</v>
      </c>
      <c r="AM12" t="n">
        <v>115</v>
      </c>
      <c r="AN12" t="n">
        <v>1934</v>
      </c>
      <c r="AO12" t="n">
        <v>2224</v>
      </c>
      <c r="AP12" t="n">
        <v>75</v>
      </c>
      <c r="AQ12" t="n">
        <v>2956</v>
      </c>
      <c r="AR12" t="n">
        <v>2217</v>
      </c>
      <c r="AS12" t="n">
        <v>73</v>
      </c>
      <c r="AT12" t="n">
        <v>2956</v>
      </c>
      <c r="AU12" t="n">
        <v>2158</v>
      </c>
      <c r="AV12" t="n">
        <v>0</v>
      </c>
      <c r="AW12" t="n">
        <v>0</v>
      </c>
      <c r="AX12" t="n">
        <v>0</v>
      </c>
      <c r="AY12" t="n">
        <v>2</v>
      </c>
      <c r="AZ12" t="n">
        <v>2950</v>
      </c>
      <c r="BA12" t="n">
        <v>59</v>
      </c>
      <c r="BB12" t="n">
        <v>174</v>
      </c>
      <c r="BC12" t="n">
        <v>3773</v>
      </c>
      <c r="BD12" t="n">
        <v>98</v>
      </c>
      <c r="BE12" t="n">
        <v>1680</v>
      </c>
      <c r="BF12" t="n">
        <v>1646</v>
      </c>
      <c r="BG12" t="n">
        <v>76</v>
      </c>
      <c r="BH12" t="n">
        <v>2799</v>
      </c>
      <c r="BI12" t="n">
        <v>2127</v>
      </c>
      <c r="BJ12" t="n">
        <v>76</v>
      </c>
      <c r="BK12" t="n">
        <v>2799</v>
      </c>
      <c r="BL12" t="n">
        <v>2127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194</v>
      </c>
      <c r="BT12" t="n">
        <v>4136</v>
      </c>
      <c r="BU12" t="n">
        <v>114</v>
      </c>
      <c r="BV12" t="n">
        <v>1692</v>
      </c>
      <c r="BW12" t="n">
        <v>1929</v>
      </c>
      <c r="BX12" t="n">
        <v>80</v>
      </c>
      <c r="BY12" t="n">
        <v>2759</v>
      </c>
      <c r="BZ12" t="n">
        <v>2207</v>
      </c>
      <c r="CA12" t="n">
        <v>78</v>
      </c>
      <c r="CB12" t="n">
        <v>2767</v>
      </c>
      <c r="CC12" t="n">
        <v>2158</v>
      </c>
      <c r="CD12" t="n">
        <v>0</v>
      </c>
      <c r="CE12" t="n">
        <v>0</v>
      </c>
      <c r="CF12" t="n">
        <v>0</v>
      </c>
      <c r="CG12" t="n">
        <v>2</v>
      </c>
      <c r="CH12" t="n">
        <v>2425</v>
      </c>
      <c r="CI12" t="n">
        <v>49</v>
      </c>
      <c r="CJ12" t="n">
        <v>153</v>
      </c>
      <c r="CK12" t="n">
        <v>2815</v>
      </c>
      <c r="CL12" t="n">
        <v>83</v>
      </c>
      <c r="CM12" t="n">
        <v>1690</v>
      </c>
      <c r="CN12" t="n">
        <v>1403</v>
      </c>
      <c r="CO12" t="n">
        <v>70</v>
      </c>
      <c r="CP12" t="n">
        <v>2017</v>
      </c>
      <c r="CQ12" t="n">
        <v>1412</v>
      </c>
      <c r="CR12" t="n">
        <v>66</v>
      </c>
      <c r="CS12" t="n">
        <v>2005</v>
      </c>
      <c r="CT12" t="n">
        <v>1323</v>
      </c>
      <c r="CU12" t="n">
        <v>0</v>
      </c>
      <c r="CV12" t="n">
        <v>0</v>
      </c>
      <c r="CW12" t="n">
        <v>0</v>
      </c>
      <c r="CX12" t="n">
        <v>4</v>
      </c>
      <c r="CY12" t="n">
        <v>2215</v>
      </c>
      <c r="CZ12" t="n">
        <v>89</v>
      </c>
      <c r="DA12" t="n">
        <v>202</v>
      </c>
      <c r="DB12" t="n">
        <v>4427</v>
      </c>
      <c r="DC12" t="n">
        <v>100</v>
      </c>
      <c r="DD12" t="n">
        <v>1664</v>
      </c>
      <c r="DE12" t="n">
        <v>1664</v>
      </c>
      <c r="DF12" t="n">
        <v>102</v>
      </c>
      <c r="DG12" t="n">
        <v>2709</v>
      </c>
      <c r="DH12" t="n">
        <v>2763</v>
      </c>
      <c r="DI12" t="n">
        <v>101</v>
      </c>
      <c r="DJ12" t="n">
        <v>2714</v>
      </c>
      <c r="DK12" t="n">
        <v>2741</v>
      </c>
      <c r="DL12" t="n">
        <v>0</v>
      </c>
      <c r="DM12" t="n">
        <v>0</v>
      </c>
      <c r="DN12" t="n">
        <v>0</v>
      </c>
      <c r="DO12" t="n">
        <v>1</v>
      </c>
      <c r="DP12" t="n">
        <v>2200</v>
      </c>
      <c r="DQ12" t="n">
        <v>22</v>
      </c>
      <c r="DR12" t="n">
        <v>182</v>
      </c>
      <c r="DS12" t="n">
        <v>4226</v>
      </c>
      <c r="DT12" t="n">
        <v>90</v>
      </c>
      <c r="DU12" t="n">
        <v>1649</v>
      </c>
      <c r="DV12" t="n">
        <v>1484</v>
      </c>
      <c r="DW12" t="n">
        <v>92</v>
      </c>
      <c r="DX12" t="n">
        <v>2980</v>
      </c>
      <c r="DY12" t="n">
        <v>2742</v>
      </c>
      <c r="DZ12" t="n">
        <v>92</v>
      </c>
      <c r="EA12" t="n">
        <v>2981</v>
      </c>
      <c r="EB12" t="n">
        <v>2742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230</v>
      </c>
      <c r="EJ12" t="n">
        <v>4848</v>
      </c>
      <c r="EK12" t="n">
        <v>115</v>
      </c>
      <c r="EL12" t="n">
        <v>1539</v>
      </c>
      <c r="EM12" t="n">
        <v>1770</v>
      </c>
      <c r="EN12" t="n">
        <v>115</v>
      </c>
      <c r="EO12" t="n">
        <v>2677</v>
      </c>
      <c r="EP12" t="n">
        <v>3078</v>
      </c>
      <c r="EQ12" t="n">
        <v>108</v>
      </c>
      <c r="ER12" t="n">
        <v>2716</v>
      </c>
      <c r="ES12" t="n">
        <v>2933</v>
      </c>
      <c r="ET12" t="n">
        <v>0</v>
      </c>
      <c r="EU12" t="n">
        <v>0</v>
      </c>
      <c r="EV12" t="n">
        <v>0</v>
      </c>
      <c r="EW12" t="n">
        <v>7</v>
      </c>
      <c r="EX12" t="n">
        <v>2077</v>
      </c>
      <c r="EY12" t="n">
        <v>145</v>
      </c>
      <c r="EZ12" t="n">
        <v>200</v>
      </c>
      <c r="FA12" t="n">
        <v>4528</v>
      </c>
      <c r="FB12" t="n">
        <v>108</v>
      </c>
      <c r="FC12" t="n">
        <v>1567</v>
      </c>
      <c r="FD12" t="n">
        <v>1692</v>
      </c>
      <c r="FE12" t="n">
        <v>92</v>
      </c>
      <c r="FF12" t="n">
        <v>3083</v>
      </c>
      <c r="FG12" t="n">
        <v>2836</v>
      </c>
      <c r="FH12" t="n">
        <v>92</v>
      </c>
      <c r="FI12" t="n">
        <v>3082</v>
      </c>
      <c r="FJ12" t="n">
        <v>2836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152</v>
      </c>
      <c r="FR12" t="n">
        <v>3110</v>
      </c>
      <c r="FS12" t="n">
        <v>95</v>
      </c>
      <c r="FT12" t="n">
        <v>1543</v>
      </c>
      <c r="FU12" t="n">
        <v>1466</v>
      </c>
      <c r="FV12" t="n">
        <v>57</v>
      </c>
      <c r="FW12" t="n">
        <v>2884</v>
      </c>
      <c r="FX12" t="n">
        <v>1644</v>
      </c>
      <c r="FY12" t="n">
        <v>57</v>
      </c>
      <c r="FZ12" t="n">
        <v>2885</v>
      </c>
      <c r="GA12" t="n">
        <v>1644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159</v>
      </c>
      <c r="GI12" t="n">
        <v>3103</v>
      </c>
      <c r="GJ12" t="n">
        <v>94</v>
      </c>
      <c r="GK12" t="n">
        <v>1505</v>
      </c>
      <c r="GL12" t="n">
        <v>1415</v>
      </c>
      <c r="GM12" t="n">
        <v>65</v>
      </c>
      <c r="GN12" t="n">
        <v>2597</v>
      </c>
      <c r="GO12" t="n">
        <v>1688</v>
      </c>
      <c r="GP12" t="n">
        <v>64</v>
      </c>
      <c r="GQ12" t="n">
        <v>2605</v>
      </c>
      <c r="GR12" t="n">
        <v>1667</v>
      </c>
      <c r="GS12" t="n">
        <v>0</v>
      </c>
      <c r="GT12" t="n">
        <v>0</v>
      </c>
      <c r="GU12" t="n">
        <v>0</v>
      </c>
      <c r="GV12" t="n">
        <v>1</v>
      </c>
      <c r="GW12" t="n">
        <v>2053</v>
      </c>
      <c r="GX12" t="n">
        <v>21</v>
      </c>
      <c r="GY12" t="n">
        <v>177</v>
      </c>
      <c r="GZ12" t="n">
        <v>3515</v>
      </c>
      <c r="HA12" t="n">
        <v>111</v>
      </c>
      <c r="HB12" t="n">
        <v>1828</v>
      </c>
      <c r="HC12" t="n">
        <v>2025</v>
      </c>
      <c r="HD12" t="n">
        <v>66</v>
      </c>
      <c r="HE12" t="n">
        <v>2261</v>
      </c>
      <c r="HF12" t="n">
        <v>1490</v>
      </c>
      <c r="HG12" t="n">
        <v>63</v>
      </c>
      <c r="HH12" t="n">
        <v>2296</v>
      </c>
      <c r="HI12" t="n">
        <v>1449</v>
      </c>
      <c r="HJ12" t="n">
        <v>0</v>
      </c>
      <c r="HK12" t="n">
        <v>0</v>
      </c>
      <c r="HL12" t="n">
        <v>0</v>
      </c>
      <c r="HM12" t="n">
        <v>3</v>
      </c>
      <c r="HN12" t="n">
        <v>1445</v>
      </c>
      <c r="HO12" t="n">
        <v>41</v>
      </c>
      <c r="HP12" t="n">
        <v>216</v>
      </c>
      <c r="HQ12" t="n">
        <v>3163</v>
      </c>
      <c r="HR12" t="n">
        <v>119</v>
      </c>
      <c r="HS12" t="n">
        <v>563</v>
      </c>
      <c r="HT12" t="n">
        <v>670</v>
      </c>
      <c r="HU12" t="n">
        <v>97</v>
      </c>
      <c r="HV12" t="n">
        <v>2580</v>
      </c>
      <c r="HW12" t="n">
        <v>2493</v>
      </c>
      <c r="HX12" t="n">
        <v>94</v>
      </c>
      <c r="HY12" t="n">
        <v>2617</v>
      </c>
      <c r="HZ12" t="n">
        <v>2472</v>
      </c>
      <c r="IA12" t="n">
        <v>0</v>
      </c>
      <c r="IB12" t="n">
        <v>0</v>
      </c>
      <c r="IC12" t="n">
        <v>0</v>
      </c>
      <c r="ID12" t="n">
        <v>2</v>
      </c>
      <c r="IE12" t="n">
        <v>975</v>
      </c>
      <c r="IF12" t="n">
        <v>21</v>
      </c>
      <c r="IG12" t="n">
        <v>227</v>
      </c>
      <c r="IH12" t="n">
        <v>3010</v>
      </c>
      <c r="II12" t="n">
        <v>107</v>
      </c>
      <c r="IJ12" t="n">
        <v>563</v>
      </c>
      <c r="IK12" t="n">
        <v>604</v>
      </c>
      <c r="IL12" t="n">
        <v>119</v>
      </c>
      <c r="IM12" t="n">
        <v>2019</v>
      </c>
      <c r="IN12" t="n">
        <v>2406</v>
      </c>
      <c r="IO12" t="n">
        <v>118</v>
      </c>
      <c r="IP12" t="n">
        <v>2027</v>
      </c>
      <c r="IQ12" t="n">
        <v>2397</v>
      </c>
      <c r="IR12" t="n">
        <v>0</v>
      </c>
      <c r="IS12" t="n">
        <v>0</v>
      </c>
      <c r="IT12" t="n">
        <v>0</v>
      </c>
      <c r="IU12" t="n">
        <v>1</v>
      </c>
      <c r="IV12" t="n">
        <v>952</v>
      </c>
      <c r="IW12" t="n">
        <v>9</v>
      </c>
      <c r="IX12" t="n">
        <v>197</v>
      </c>
      <c r="IY12" t="n">
        <v>2108</v>
      </c>
      <c r="IZ12" t="n">
        <v>129</v>
      </c>
      <c r="JA12" t="n">
        <v>565</v>
      </c>
      <c r="JB12" t="n">
        <v>728</v>
      </c>
      <c r="JC12" t="n">
        <v>69</v>
      </c>
      <c r="JD12" t="n">
        <v>2012</v>
      </c>
      <c r="JE12" t="n">
        <v>1380</v>
      </c>
      <c r="JF12" t="n">
        <v>67</v>
      </c>
      <c r="JG12" t="n">
        <v>2033</v>
      </c>
      <c r="JH12" t="n">
        <v>1368</v>
      </c>
      <c r="JI12" t="n">
        <v>0</v>
      </c>
      <c r="JJ12" t="n">
        <v>0</v>
      </c>
      <c r="JK12" t="n">
        <v>0</v>
      </c>
      <c r="JL12" t="n">
        <v>1</v>
      </c>
      <c r="JM12" t="n">
        <v>951</v>
      </c>
      <c r="JN12" t="n">
        <v>12</v>
      </c>
      <c r="JO12" t="n">
        <v>241</v>
      </c>
      <c r="JP12" t="n">
        <v>3682</v>
      </c>
      <c r="JQ12" t="n">
        <v>156</v>
      </c>
      <c r="JR12" t="n">
        <v>975</v>
      </c>
      <c r="JS12" t="n">
        <v>1522</v>
      </c>
      <c r="JT12" t="n">
        <v>85</v>
      </c>
      <c r="JU12" t="n">
        <v>2538</v>
      </c>
      <c r="JV12" t="n">
        <v>2160</v>
      </c>
      <c r="JW12" t="n">
        <v>69</v>
      </c>
      <c r="JX12" t="n">
        <v>2881</v>
      </c>
      <c r="JY12" t="n">
        <v>2002</v>
      </c>
      <c r="JZ12" t="n">
        <v>0</v>
      </c>
      <c r="KA12" t="n">
        <v>0</v>
      </c>
      <c r="KB12" t="n">
        <v>0</v>
      </c>
      <c r="KC12" t="n">
        <v>16</v>
      </c>
      <c r="KD12" t="n">
        <v>1010</v>
      </c>
      <c r="KE12" t="n">
        <v>158</v>
      </c>
      <c r="KF12" t="n">
        <v>250</v>
      </c>
      <c r="KG12" t="n">
        <v>3475</v>
      </c>
      <c r="KH12" t="n">
        <v>149</v>
      </c>
      <c r="KI12" t="n">
        <v>919</v>
      </c>
      <c r="KJ12" t="n">
        <v>1365</v>
      </c>
      <c r="KK12" t="n">
        <v>102</v>
      </c>
      <c r="KL12" t="n">
        <v>2073</v>
      </c>
      <c r="KM12" t="n">
        <v>2110</v>
      </c>
      <c r="KN12" t="n">
        <v>88</v>
      </c>
      <c r="KO12" t="n">
        <v>2242</v>
      </c>
      <c r="KP12" t="n">
        <v>1962</v>
      </c>
      <c r="KQ12" t="n">
        <v>0</v>
      </c>
      <c r="KR12" t="n">
        <v>0</v>
      </c>
      <c r="KS12" t="n">
        <v>0</v>
      </c>
      <c r="KT12" t="n">
        <v>14</v>
      </c>
      <c r="KU12" t="n">
        <v>1036</v>
      </c>
      <c r="KV12" t="n">
        <v>148</v>
      </c>
      <c r="KW12" t="n">
        <v>206</v>
      </c>
      <c r="KX12" t="n">
        <v>2564</v>
      </c>
      <c r="KY12" t="n">
        <v>130</v>
      </c>
      <c r="KZ12" t="n">
        <v>536</v>
      </c>
      <c r="LA12" t="n">
        <v>696</v>
      </c>
      <c r="LB12" t="n">
        <v>77</v>
      </c>
      <c r="LC12" t="n">
        <v>2442</v>
      </c>
      <c r="LD12" t="n">
        <v>1868</v>
      </c>
      <c r="LE12" t="n">
        <v>73</v>
      </c>
      <c r="LF12" t="n">
        <v>2509</v>
      </c>
      <c r="LG12" t="n">
        <v>1838</v>
      </c>
      <c r="LH12" t="n">
        <v>0</v>
      </c>
      <c r="LI12" t="n">
        <v>0</v>
      </c>
      <c r="LJ12" t="n">
        <v>0</v>
      </c>
      <c r="LK12" t="n">
        <v>3</v>
      </c>
      <c r="LL12" t="n">
        <v>924</v>
      </c>
      <c r="LM12" t="n">
        <v>30</v>
      </c>
      <c r="LN12" t="n">
        <v>185</v>
      </c>
      <c r="LO12" t="n">
        <v>2744</v>
      </c>
      <c r="LP12" t="n">
        <v>102</v>
      </c>
      <c r="LQ12" t="n">
        <v>590</v>
      </c>
      <c r="LR12" t="n">
        <v>603</v>
      </c>
      <c r="LS12" t="n">
        <v>83</v>
      </c>
      <c r="LT12" t="n">
        <v>2579</v>
      </c>
      <c r="LU12" t="n">
        <v>2141</v>
      </c>
      <c r="LV12" t="n">
        <v>77</v>
      </c>
      <c r="LW12" t="n">
        <v>2720</v>
      </c>
      <c r="LX12" t="n">
        <v>2091</v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n">
        <v>6</v>
      </c>
      <c r="MC12" t="n">
        <v>822</v>
      </c>
      <c r="MD12" t="n">
        <v>50</v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n">
        <v>95</v>
      </c>
      <c r="MN12" t="n">
        <v>2972</v>
      </c>
      <c r="MO12" t="n">
        <v>2835</v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  <c r="ND12" t="n">
        <v>87</v>
      </c>
      <c r="NE12" t="n">
        <v>2354</v>
      </c>
      <c r="NF12" t="n">
        <v>2058</v>
      </c>
      <c r="NG12" t="inlineStr">
        <is>
          <t>-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</row>
    <row r="13">
      <c r="A13" t="inlineStr">
        <is>
          <t>세종특별자치시</t>
        </is>
      </c>
      <c r="B13" t="inlineStr">
        <is>
          <t>소계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n">
        <v>157</v>
      </c>
      <c r="GI13" t="n">
        <v>2618</v>
      </c>
      <c r="GJ13" t="n">
        <v>106</v>
      </c>
      <c r="GK13" t="n">
        <v>1331</v>
      </c>
      <c r="GL13" t="n">
        <v>1411</v>
      </c>
      <c r="GM13" t="n">
        <v>51</v>
      </c>
      <c r="GN13" t="n">
        <v>2367</v>
      </c>
      <c r="GO13" t="n">
        <v>1207</v>
      </c>
      <c r="GP13" t="n">
        <v>51</v>
      </c>
      <c r="GQ13" t="n">
        <v>2366</v>
      </c>
      <c r="GR13" t="n">
        <v>1207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145</v>
      </c>
      <c r="GZ13" t="n">
        <v>2120</v>
      </c>
      <c r="HA13" t="n">
        <v>89</v>
      </c>
      <c r="HB13" t="n">
        <v>1163</v>
      </c>
      <c r="HC13" t="n">
        <v>1039</v>
      </c>
      <c r="HD13" t="n">
        <v>55</v>
      </c>
      <c r="HE13" t="n">
        <v>1950</v>
      </c>
      <c r="HF13" t="n">
        <v>1081</v>
      </c>
      <c r="HG13" t="n">
        <v>47</v>
      </c>
      <c r="HH13" t="n">
        <v>2128</v>
      </c>
      <c r="HI13" t="n">
        <v>993</v>
      </c>
      <c r="HJ13" t="n">
        <v>0</v>
      </c>
      <c r="HK13" t="n">
        <v>0</v>
      </c>
      <c r="HL13" t="n">
        <v>0</v>
      </c>
      <c r="HM13" t="n">
        <v>9</v>
      </c>
      <c r="HN13" t="n">
        <v>1000</v>
      </c>
      <c r="HO13" t="n">
        <v>88</v>
      </c>
      <c r="HP13" t="n">
        <v>101</v>
      </c>
      <c r="HQ13" t="n">
        <v>1582</v>
      </c>
      <c r="HR13" t="n">
        <v>70</v>
      </c>
      <c r="HS13" t="n">
        <v>1146</v>
      </c>
      <c r="HT13" t="n">
        <v>797</v>
      </c>
      <c r="HU13" t="n">
        <v>32</v>
      </c>
      <c r="HV13" t="n">
        <v>2485</v>
      </c>
      <c r="HW13" t="n">
        <v>785</v>
      </c>
      <c r="HX13" t="n">
        <v>31</v>
      </c>
      <c r="HY13" t="n">
        <v>2506</v>
      </c>
      <c r="HZ13" t="n">
        <v>781</v>
      </c>
      <c r="IA13" t="n">
        <v>0</v>
      </c>
      <c r="IB13" t="n">
        <v>0</v>
      </c>
      <c r="IC13" t="n">
        <v>0</v>
      </c>
      <c r="ID13" t="n">
        <v>0</v>
      </c>
      <c r="IE13" t="n">
        <v>1052</v>
      </c>
      <c r="IF13" t="n">
        <v>4</v>
      </c>
      <c r="IG13" t="n">
        <v>112</v>
      </c>
      <c r="IH13" t="n">
        <v>1679</v>
      </c>
      <c r="II13" t="n">
        <v>61</v>
      </c>
      <c r="IJ13" t="n">
        <v>945</v>
      </c>
      <c r="IK13" t="n">
        <v>580</v>
      </c>
      <c r="IL13" t="n">
        <v>50</v>
      </c>
      <c r="IM13" t="n">
        <v>2183</v>
      </c>
      <c r="IN13" t="n">
        <v>1099</v>
      </c>
      <c r="IO13" t="n">
        <v>49</v>
      </c>
      <c r="IP13" t="n">
        <v>2208</v>
      </c>
      <c r="IQ13" t="n">
        <v>1091</v>
      </c>
      <c r="IR13" t="n">
        <v>0</v>
      </c>
      <c r="IS13" t="n">
        <v>0</v>
      </c>
      <c r="IT13" t="n">
        <v>0</v>
      </c>
      <c r="IU13" t="n">
        <v>1</v>
      </c>
      <c r="IV13" t="n">
        <v>887</v>
      </c>
      <c r="IW13" t="n">
        <v>8</v>
      </c>
      <c r="IX13" t="n">
        <v>136</v>
      </c>
      <c r="IY13" t="n">
        <v>1804</v>
      </c>
      <c r="IZ13" t="n">
        <v>63</v>
      </c>
      <c r="JA13" t="n">
        <v>984</v>
      </c>
      <c r="JB13" t="n">
        <v>617</v>
      </c>
      <c r="JC13" t="n">
        <v>73</v>
      </c>
      <c r="JD13" t="n">
        <v>1617</v>
      </c>
      <c r="JE13" t="n">
        <v>1187</v>
      </c>
      <c r="JF13" t="n">
        <v>47</v>
      </c>
      <c r="JG13" t="n">
        <v>1759</v>
      </c>
      <c r="JH13" t="n">
        <v>821</v>
      </c>
      <c r="JI13" t="n">
        <v>0</v>
      </c>
      <c r="JJ13" t="n">
        <v>0</v>
      </c>
      <c r="JK13" t="n">
        <v>0</v>
      </c>
      <c r="JL13" t="n">
        <v>27</v>
      </c>
      <c r="JM13" t="n">
        <v>1370</v>
      </c>
      <c r="JN13" t="n">
        <v>366</v>
      </c>
      <c r="JO13" t="n">
        <v>129</v>
      </c>
      <c r="JP13" t="n">
        <v>1596</v>
      </c>
      <c r="JQ13" t="n">
        <v>77</v>
      </c>
      <c r="JR13" t="n">
        <v>561</v>
      </c>
      <c r="JS13" t="n">
        <v>432</v>
      </c>
      <c r="JT13" t="n">
        <v>52</v>
      </c>
      <c r="JU13" t="n">
        <v>2220</v>
      </c>
      <c r="JV13" t="n">
        <v>1164</v>
      </c>
      <c r="JW13" t="n">
        <v>52</v>
      </c>
      <c r="JX13" t="n">
        <v>2220</v>
      </c>
      <c r="JY13" t="n">
        <v>1164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106</v>
      </c>
      <c r="KG13" t="n">
        <v>1159</v>
      </c>
      <c r="KH13" t="n">
        <v>66</v>
      </c>
      <c r="KI13" t="n">
        <v>575</v>
      </c>
      <c r="KJ13" t="n">
        <v>377</v>
      </c>
      <c r="KK13" t="n">
        <v>40</v>
      </c>
      <c r="KL13" t="n">
        <v>1940</v>
      </c>
      <c r="KM13" t="n">
        <v>782</v>
      </c>
      <c r="KN13" t="n">
        <v>39</v>
      </c>
      <c r="KO13" t="n">
        <v>1962</v>
      </c>
      <c r="KP13" t="n">
        <v>774</v>
      </c>
      <c r="KQ13" t="n">
        <v>0</v>
      </c>
      <c r="KR13" t="n">
        <v>0</v>
      </c>
      <c r="KS13" t="n">
        <v>0</v>
      </c>
      <c r="KT13" t="n">
        <v>1</v>
      </c>
      <c r="KU13" t="n">
        <v>958</v>
      </c>
      <c r="KV13" t="n">
        <v>8</v>
      </c>
      <c r="KW13" t="n">
        <v>92</v>
      </c>
      <c r="KX13" t="n">
        <v>1127</v>
      </c>
      <c r="KY13" t="n">
        <v>56</v>
      </c>
      <c r="KZ13" t="n">
        <v>902</v>
      </c>
      <c r="LA13" t="n">
        <v>508</v>
      </c>
      <c r="LB13" t="n">
        <v>36</v>
      </c>
      <c r="LC13" t="n">
        <v>1743</v>
      </c>
      <c r="LD13" t="n">
        <v>619</v>
      </c>
      <c r="LE13" t="n">
        <v>35</v>
      </c>
      <c r="LF13" t="n">
        <v>1744</v>
      </c>
      <c r="LG13" t="n">
        <v>619</v>
      </c>
      <c r="LH13" t="n">
        <v>0</v>
      </c>
      <c r="LI13" t="n">
        <v>0</v>
      </c>
      <c r="LJ13" t="n">
        <v>0</v>
      </c>
      <c r="LK13" t="n">
        <v>0</v>
      </c>
      <c r="LL13" t="n">
        <v>1017</v>
      </c>
      <c r="LM13" t="n">
        <v>0</v>
      </c>
      <c r="LN13" t="n">
        <v>82</v>
      </c>
      <c r="LO13" t="n">
        <v>1446</v>
      </c>
      <c r="LP13" t="n">
        <v>52</v>
      </c>
      <c r="LQ13" t="n">
        <v>1429</v>
      </c>
      <c r="LR13" t="n">
        <v>740</v>
      </c>
      <c r="LS13" t="n">
        <v>30</v>
      </c>
      <c r="LT13" t="n">
        <v>2325</v>
      </c>
      <c r="LU13" t="n">
        <v>706</v>
      </c>
      <c r="LV13" t="n">
        <v>30</v>
      </c>
      <c r="LW13" t="n">
        <v>2340</v>
      </c>
      <c r="LX13" t="n">
        <v>697</v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n">
        <v>1</v>
      </c>
      <c r="MC13" t="n">
        <v>1593</v>
      </c>
      <c r="MD13" t="n">
        <v>9</v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n">
        <v>67</v>
      </c>
      <c r="MN13" t="n">
        <v>3114</v>
      </c>
      <c r="MO13" t="n">
        <v>2080</v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  <c r="ND13" t="n">
        <v>44</v>
      </c>
      <c r="NE13" t="n">
        <v>1877</v>
      </c>
      <c r="NF13" t="n">
        <v>834</v>
      </c>
      <c r="NG13" t="inlineStr">
        <is>
          <t>-</t>
        </is>
      </c>
      <c r="NH13" t="inlineStr">
        <is>
          <t>-</t>
        </is>
      </c>
      <c r="NI13" t="inlineStr">
        <is>
          <t>-</t>
        </is>
      </c>
      <c r="NJ13" t="inlineStr">
        <is>
          <t>-</t>
        </is>
      </c>
      <c r="NK13" t="inlineStr">
        <is>
          <t>-</t>
        </is>
      </c>
      <c r="NL13" t="inlineStr">
        <is>
          <t>-</t>
        </is>
      </c>
    </row>
    <row r="14">
      <c r="A14" t="inlineStr">
        <is>
          <t>경기도</t>
        </is>
      </c>
      <c r="B14" t="inlineStr">
        <is>
          <t>소계</t>
        </is>
      </c>
      <c r="C14" t="n">
        <v>5047</v>
      </c>
      <c r="D14" t="n">
        <v>92010</v>
      </c>
      <c r="E14" t="n">
        <v>3683</v>
      </c>
      <c r="F14" t="n">
        <v>1590</v>
      </c>
      <c r="G14" t="n">
        <v>58560</v>
      </c>
      <c r="H14" t="n">
        <v>1364</v>
      </c>
      <c r="I14" t="n">
        <v>2452</v>
      </c>
      <c r="J14" t="n">
        <v>33450</v>
      </c>
      <c r="K14" t="n">
        <v>1328</v>
      </c>
      <c r="L14" t="n">
        <v>2456</v>
      </c>
      <c r="M14" t="n">
        <v>32616</v>
      </c>
      <c r="N14" t="n">
        <v>0</v>
      </c>
      <c r="O14" t="n">
        <v>0</v>
      </c>
      <c r="P14" t="n">
        <v>0</v>
      </c>
      <c r="Q14" t="n">
        <v>36</v>
      </c>
      <c r="R14" t="n">
        <v>2317</v>
      </c>
      <c r="S14" t="n">
        <v>834</v>
      </c>
      <c r="T14" t="n">
        <v>4382</v>
      </c>
      <c r="U14" t="n">
        <v>85112</v>
      </c>
      <c r="V14" t="n">
        <v>3395</v>
      </c>
      <c r="W14" t="n">
        <v>1684</v>
      </c>
      <c r="X14" t="n">
        <v>57172</v>
      </c>
      <c r="Y14" t="n">
        <v>987</v>
      </c>
      <c r="Z14" t="n">
        <v>2831</v>
      </c>
      <c r="AA14" t="n">
        <v>27940</v>
      </c>
      <c r="AB14" t="n">
        <v>974</v>
      </c>
      <c r="AC14" t="n">
        <v>2831</v>
      </c>
      <c r="AD14" t="n">
        <v>27572</v>
      </c>
      <c r="AE14" t="n">
        <v>0</v>
      </c>
      <c r="AF14" t="n">
        <v>0</v>
      </c>
      <c r="AG14" t="n">
        <v>0</v>
      </c>
      <c r="AH14" t="n">
        <v>13</v>
      </c>
      <c r="AI14" t="n">
        <v>2831</v>
      </c>
      <c r="AJ14" t="n">
        <v>368</v>
      </c>
      <c r="AK14" t="n">
        <v>5060</v>
      </c>
      <c r="AL14" t="n">
        <v>95656</v>
      </c>
      <c r="AM14" t="n">
        <v>4016</v>
      </c>
      <c r="AN14" t="n">
        <v>1684</v>
      </c>
      <c r="AO14" t="n">
        <v>67629</v>
      </c>
      <c r="AP14" t="n">
        <v>1044</v>
      </c>
      <c r="AQ14" t="n">
        <v>2685</v>
      </c>
      <c r="AR14" t="n">
        <v>28027</v>
      </c>
      <c r="AS14" t="n">
        <v>1026</v>
      </c>
      <c r="AT14" t="n">
        <v>2685</v>
      </c>
      <c r="AU14" t="n">
        <v>27544</v>
      </c>
      <c r="AV14" t="n">
        <v>0</v>
      </c>
      <c r="AW14" t="n">
        <v>0</v>
      </c>
      <c r="AX14" t="n">
        <v>0</v>
      </c>
      <c r="AY14" t="n">
        <v>18</v>
      </c>
      <c r="AZ14" t="n">
        <v>2683</v>
      </c>
      <c r="BA14" t="n">
        <v>483</v>
      </c>
      <c r="BB14" t="n">
        <v>4671</v>
      </c>
      <c r="BC14" t="n">
        <v>95482</v>
      </c>
      <c r="BD14" t="n">
        <v>3547</v>
      </c>
      <c r="BE14" t="n">
        <v>1782</v>
      </c>
      <c r="BF14" t="n">
        <v>63208</v>
      </c>
      <c r="BG14" t="n">
        <v>1124</v>
      </c>
      <c r="BH14" t="n">
        <v>2871</v>
      </c>
      <c r="BI14" t="n">
        <v>32274</v>
      </c>
      <c r="BJ14" t="n">
        <v>1086</v>
      </c>
      <c r="BK14" t="n">
        <v>2872</v>
      </c>
      <c r="BL14" t="n">
        <v>31187</v>
      </c>
      <c r="BM14" t="n">
        <v>0</v>
      </c>
      <c r="BN14" t="n">
        <v>0</v>
      </c>
      <c r="BO14" t="n">
        <v>0</v>
      </c>
      <c r="BP14" t="n">
        <v>38</v>
      </c>
      <c r="BQ14" t="n">
        <v>2861</v>
      </c>
      <c r="BR14" t="n">
        <v>1087</v>
      </c>
      <c r="BS14" t="n">
        <v>4770</v>
      </c>
      <c r="BT14" t="n">
        <v>92872</v>
      </c>
      <c r="BU14" t="n">
        <v>3565</v>
      </c>
      <c r="BV14" t="n">
        <v>1628</v>
      </c>
      <c r="BW14" t="n">
        <v>58038</v>
      </c>
      <c r="BX14" t="n">
        <v>1205</v>
      </c>
      <c r="BY14" t="n">
        <v>2891</v>
      </c>
      <c r="BZ14" t="n">
        <v>34834</v>
      </c>
      <c r="CA14" t="n">
        <v>1170</v>
      </c>
      <c r="CB14" t="n">
        <v>2899</v>
      </c>
      <c r="CC14" t="n">
        <v>33915</v>
      </c>
      <c r="CD14" t="n">
        <v>0</v>
      </c>
      <c r="CE14" t="n">
        <v>0</v>
      </c>
      <c r="CF14" t="n">
        <v>0</v>
      </c>
      <c r="CG14" t="n">
        <v>35</v>
      </c>
      <c r="CH14" t="n">
        <v>2626</v>
      </c>
      <c r="CI14" t="n">
        <v>919</v>
      </c>
      <c r="CJ14" t="n">
        <v>4863</v>
      </c>
      <c r="CK14" t="n">
        <v>88675</v>
      </c>
      <c r="CL14" t="n">
        <v>3358</v>
      </c>
      <c r="CM14" t="n">
        <v>1429</v>
      </c>
      <c r="CN14" t="n">
        <v>47986</v>
      </c>
      <c r="CO14" t="n">
        <v>1505</v>
      </c>
      <c r="CP14" t="n">
        <v>2704</v>
      </c>
      <c r="CQ14" t="n">
        <v>40689</v>
      </c>
      <c r="CR14" t="n">
        <v>1419</v>
      </c>
      <c r="CS14" t="n">
        <v>2731</v>
      </c>
      <c r="CT14" t="n">
        <v>38751</v>
      </c>
      <c r="CU14" t="n">
        <v>0</v>
      </c>
      <c r="CV14" t="n">
        <v>0</v>
      </c>
      <c r="CW14" t="n">
        <v>0</v>
      </c>
      <c r="CX14" t="n">
        <v>86</v>
      </c>
      <c r="CY14" t="n">
        <v>2253</v>
      </c>
      <c r="CZ14" t="n">
        <v>1938</v>
      </c>
      <c r="DA14" t="n">
        <v>4661</v>
      </c>
      <c r="DB14" t="n">
        <v>80906</v>
      </c>
      <c r="DC14" t="n">
        <v>2917</v>
      </c>
      <c r="DD14" t="n">
        <v>1415</v>
      </c>
      <c r="DE14" t="n">
        <v>41276</v>
      </c>
      <c r="DF14" t="n">
        <v>1744</v>
      </c>
      <c r="DG14" t="n">
        <v>2272</v>
      </c>
      <c r="DH14" t="n">
        <v>39630</v>
      </c>
      <c r="DI14" t="n">
        <v>1727</v>
      </c>
      <c r="DJ14" t="n">
        <v>2273</v>
      </c>
      <c r="DK14" t="n">
        <v>39254</v>
      </c>
      <c r="DL14" t="n">
        <v>0</v>
      </c>
      <c r="DM14" t="n">
        <v>0</v>
      </c>
      <c r="DN14" t="n">
        <v>0</v>
      </c>
      <c r="DO14" t="n">
        <v>17</v>
      </c>
      <c r="DP14" t="n">
        <v>2214</v>
      </c>
      <c r="DQ14" t="n">
        <v>376</v>
      </c>
      <c r="DR14" t="n">
        <v>5367</v>
      </c>
      <c r="DS14" t="n">
        <v>86382</v>
      </c>
      <c r="DT14" t="n">
        <v>3593</v>
      </c>
      <c r="DU14" t="n">
        <v>1414</v>
      </c>
      <c r="DV14" t="n">
        <v>50805</v>
      </c>
      <c r="DW14" t="n">
        <v>1774</v>
      </c>
      <c r="DX14" t="n">
        <v>2005</v>
      </c>
      <c r="DY14" t="n">
        <v>35577</v>
      </c>
      <c r="DZ14" t="n">
        <v>1725</v>
      </c>
      <c r="EA14" t="n">
        <v>2004</v>
      </c>
      <c r="EB14" t="n">
        <v>34574</v>
      </c>
      <c r="EC14" t="n">
        <v>0</v>
      </c>
      <c r="ED14" t="n">
        <v>0</v>
      </c>
      <c r="EE14" t="n">
        <v>0</v>
      </c>
      <c r="EF14" t="n">
        <v>49</v>
      </c>
      <c r="EG14" t="n">
        <v>2046</v>
      </c>
      <c r="EH14" t="n">
        <v>1003</v>
      </c>
      <c r="EI14" t="n">
        <v>5777</v>
      </c>
      <c r="EJ14" t="n">
        <v>108842</v>
      </c>
      <c r="EK14" t="n">
        <v>3594</v>
      </c>
      <c r="EL14" t="n">
        <v>1425</v>
      </c>
      <c r="EM14" t="n">
        <v>51215</v>
      </c>
      <c r="EN14" t="n">
        <v>2183</v>
      </c>
      <c r="EO14" t="n">
        <v>2640</v>
      </c>
      <c r="EP14" t="n">
        <v>57627</v>
      </c>
      <c r="EQ14" t="n">
        <v>2140</v>
      </c>
      <c r="ER14" t="n">
        <v>2650</v>
      </c>
      <c r="ES14" t="n">
        <v>56714</v>
      </c>
      <c r="ET14" t="n">
        <v>0</v>
      </c>
      <c r="EU14" t="n">
        <v>0</v>
      </c>
      <c r="EV14" t="n">
        <v>0</v>
      </c>
      <c r="EW14" t="n">
        <v>43</v>
      </c>
      <c r="EX14" t="n">
        <v>2123</v>
      </c>
      <c r="EY14" t="n">
        <v>913</v>
      </c>
      <c r="EZ14" t="n">
        <v>4982</v>
      </c>
      <c r="FA14" t="n">
        <v>95339</v>
      </c>
      <c r="FB14" t="n">
        <v>3284</v>
      </c>
      <c r="FC14" t="n">
        <v>1420</v>
      </c>
      <c r="FD14" t="n">
        <v>46633</v>
      </c>
      <c r="FE14" t="n">
        <v>1698</v>
      </c>
      <c r="FF14" t="n">
        <v>2868</v>
      </c>
      <c r="FG14" t="n">
        <v>48706</v>
      </c>
      <c r="FH14" t="n">
        <v>1671</v>
      </c>
      <c r="FI14" t="n">
        <v>2888</v>
      </c>
      <c r="FJ14" t="n">
        <v>48256</v>
      </c>
      <c r="FK14" t="n">
        <v>0</v>
      </c>
      <c r="FL14" t="n">
        <v>0</v>
      </c>
      <c r="FM14" t="n">
        <v>0</v>
      </c>
      <c r="FN14" t="n">
        <v>27</v>
      </c>
      <c r="FO14" t="n">
        <v>1666</v>
      </c>
      <c r="FP14" t="n">
        <v>450</v>
      </c>
      <c r="FQ14" t="n">
        <v>4703</v>
      </c>
      <c r="FR14" t="n">
        <v>85315</v>
      </c>
      <c r="FS14" t="n">
        <v>2952</v>
      </c>
      <c r="FT14" t="n">
        <v>1571</v>
      </c>
      <c r="FU14" t="n">
        <v>46376</v>
      </c>
      <c r="FV14" t="n">
        <v>1751</v>
      </c>
      <c r="FW14" t="n">
        <v>2224</v>
      </c>
      <c r="FX14" t="n">
        <v>38939</v>
      </c>
      <c r="FY14" t="n">
        <v>1722</v>
      </c>
      <c r="FZ14" t="n">
        <v>2226</v>
      </c>
      <c r="GA14" t="n">
        <v>38338</v>
      </c>
      <c r="GB14" t="n">
        <v>0</v>
      </c>
      <c r="GC14" t="n">
        <v>0</v>
      </c>
      <c r="GD14" t="n">
        <v>0</v>
      </c>
      <c r="GE14" t="n">
        <v>29</v>
      </c>
      <c r="GF14" t="n">
        <v>2073</v>
      </c>
      <c r="GG14" t="n">
        <v>601</v>
      </c>
      <c r="GH14" t="n">
        <v>5745</v>
      </c>
      <c r="GI14" t="n">
        <v>108355</v>
      </c>
      <c r="GJ14" t="n">
        <v>3827</v>
      </c>
      <c r="GK14" t="n">
        <v>1392</v>
      </c>
      <c r="GL14" t="n">
        <v>53272</v>
      </c>
      <c r="GM14" t="n">
        <v>1918</v>
      </c>
      <c r="GN14" t="n">
        <v>2872</v>
      </c>
      <c r="GO14" t="n">
        <v>55083</v>
      </c>
      <c r="GP14" t="n">
        <v>1869</v>
      </c>
      <c r="GQ14" t="n">
        <v>2908</v>
      </c>
      <c r="GR14" t="n">
        <v>54358</v>
      </c>
      <c r="GS14" t="n">
        <v>0</v>
      </c>
      <c r="GT14" t="n">
        <v>0</v>
      </c>
      <c r="GU14" t="n">
        <v>0</v>
      </c>
      <c r="GV14" t="n">
        <v>49</v>
      </c>
      <c r="GW14" t="n">
        <v>1479</v>
      </c>
      <c r="GX14" t="n">
        <v>725</v>
      </c>
      <c r="GY14" t="n">
        <v>5692</v>
      </c>
      <c r="GZ14" t="n">
        <v>86893</v>
      </c>
      <c r="HA14" t="n">
        <v>3881</v>
      </c>
      <c r="HB14" t="n">
        <v>1210</v>
      </c>
      <c r="HC14" t="n">
        <v>46966</v>
      </c>
      <c r="HD14" t="n">
        <v>1811</v>
      </c>
      <c r="HE14" t="n">
        <v>2205</v>
      </c>
      <c r="HF14" t="n">
        <v>39927</v>
      </c>
      <c r="HG14" t="n">
        <v>1765</v>
      </c>
      <c r="HH14" t="n">
        <v>2216</v>
      </c>
      <c r="HI14" t="n">
        <v>39117</v>
      </c>
      <c r="HJ14" t="n">
        <v>0</v>
      </c>
      <c r="HK14" t="n">
        <v>0</v>
      </c>
      <c r="HL14" t="n">
        <v>0</v>
      </c>
      <c r="HM14" t="n">
        <v>46</v>
      </c>
      <c r="HN14" t="n">
        <v>1771</v>
      </c>
      <c r="HO14" t="n">
        <v>810</v>
      </c>
      <c r="HP14" t="n">
        <v>5545</v>
      </c>
      <c r="HQ14" t="n">
        <v>92998</v>
      </c>
      <c r="HR14" t="n">
        <v>3712</v>
      </c>
      <c r="HS14" t="n">
        <v>1312</v>
      </c>
      <c r="HT14" t="n">
        <v>48705</v>
      </c>
      <c r="HU14" t="n">
        <v>1833</v>
      </c>
      <c r="HV14" t="n">
        <v>2417</v>
      </c>
      <c r="HW14" t="n">
        <v>44293</v>
      </c>
      <c r="HX14" t="n">
        <v>1764</v>
      </c>
      <c r="HY14" t="n">
        <v>2454</v>
      </c>
      <c r="HZ14" t="n">
        <v>43299</v>
      </c>
      <c r="IA14" t="n">
        <v>0</v>
      </c>
      <c r="IB14" t="n">
        <v>0</v>
      </c>
      <c r="IC14" t="n">
        <v>0</v>
      </c>
      <c r="ID14" t="n">
        <v>68</v>
      </c>
      <c r="IE14" t="n">
        <v>1458</v>
      </c>
      <c r="IF14" t="n">
        <v>994</v>
      </c>
      <c r="IG14" t="n">
        <v>5838</v>
      </c>
      <c r="IH14" t="n">
        <v>106824</v>
      </c>
      <c r="II14" t="n">
        <v>3714</v>
      </c>
      <c r="IJ14" t="n">
        <v>1455</v>
      </c>
      <c r="IK14" t="n">
        <v>54035</v>
      </c>
      <c r="IL14" t="n">
        <v>2124</v>
      </c>
      <c r="IM14" t="n">
        <v>2485</v>
      </c>
      <c r="IN14" t="n">
        <v>52789</v>
      </c>
      <c r="IO14" t="n">
        <v>2005</v>
      </c>
      <c r="IP14" t="n">
        <v>2560</v>
      </c>
      <c r="IQ14" t="n">
        <v>51317</v>
      </c>
      <c r="IR14" t="n">
        <v>0</v>
      </c>
      <c r="IS14" t="n">
        <v>0</v>
      </c>
      <c r="IT14" t="n">
        <v>0</v>
      </c>
      <c r="IU14" t="n">
        <v>120</v>
      </c>
      <c r="IV14" t="n">
        <v>1229</v>
      </c>
      <c r="IW14" t="n">
        <v>1472</v>
      </c>
      <c r="IX14" t="n">
        <v>5277</v>
      </c>
      <c r="IY14" t="n">
        <v>87694</v>
      </c>
      <c r="IZ14" t="n">
        <v>3586</v>
      </c>
      <c r="JA14" t="n">
        <v>1290</v>
      </c>
      <c r="JB14" t="n">
        <v>46264</v>
      </c>
      <c r="JC14" t="n">
        <v>1691</v>
      </c>
      <c r="JD14" t="n">
        <v>2450</v>
      </c>
      <c r="JE14" t="n">
        <v>41430</v>
      </c>
      <c r="JF14" t="n">
        <v>1641</v>
      </c>
      <c r="JG14" t="n">
        <v>2485</v>
      </c>
      <c r="JH14" t="n">
        <v>40759</v>
      </c>
      <c r="JI14" t="n">
        <v>0</v>
      </c>
      <c r="JJ14" t="n">
        <v>0</v>
      </c>
      <c r="JK14" t="n">
        <v>0</v>
      </c>
      <c r="JL14" t="n">
        <v>51</v>
      </c>
      <c r="JM14" t="n">
        <v>1327</v>
      </c>
      <c r="JN14" t="n">
        <v>671</v>
      </c>
      <c r="JO14" t="n">
        <v>4834</v>
      </c>
      <c r="JP14" t="n">
        <v>86113</v>
      </c>
      <c r="JQ14" t="n">
        <v>3282</v>
      </c>
      <c r="JR14" t="n">
        <v>1282</v>
      </c>
      <c r="JS14" t="n">
        <v>42080</v>
      </c>
      <c r="JT14" t="n">
        <v>1552</v>
      </c>
      <c r="JU14" t="n">
        <v>2838</v>
      </c>
      <c r="JV14" t="n">
        <v>44033</v>
      </c>
      <c r="JW14" t="n">
        <v>1496</v>
      </c>
      <c r="JX14" t="n">
        <v>2889</v>
      </c>
      <c r="JY14" t="n">
        <v>43229</v>
      </c>
      <c r="JZ14" t="n">
        <v>0</v>
      </c>
      <c r="KA14" t="n">
        <v>0</v>
      </c>
      <c r="KB14" t="n">
        <v>0</v>
      </c>
      <c r="KC14" t="n">
        <v>55</v>
      </c>
      <c r="KD14" t="n">
        <v>1455</v>
      </c>
      <c r="KE14" t="n">
        <v>804</v>
      </c>
      <c r="KF14" t="n">
        <v>4486</v>
      </c>
      <c r="KG14" t="n">
        <v>86322</v>
      </c>
      <c r="KH14" t="n">
        <v>3101</v>
      </c>
      <c r="KI14" t="n">
        <v>1648</v>
      </c>
      <c r="KJ14" t="n">
        <v>51096</v>
      </c>
      <c r="KK14" t="n">
        <v>1386</v>
      </c>
      <c r="KL14" t="n">
        <v>2542</v>
      </c>
      <c r="KM14" t="n">
        <v>35226</v>
      </c>
      <c r="KN14" t="n">
        <v>1359</v>
      </c>
      <c r="KO14" t="n">
        <v>2571</v>
      </c>
      <c r="KP14" t="n">
        <v>34933</v>
      </c>
      <c r="KQ14" t="n">
        <v>0</v>
      </c>
      <c r="KR14" t="n">
        <v>0</v>
      </c>
      <c r="KS14" t="n">
        <v>0</v>
      </c>
      <c r="KT14" t="n">
        <v>27</v>
      </c>
      <c r="KU14" t="n">
        <v>1089</v>
      </c>
      <c r="KV14" t="n">
        <v>293</v>
      </c>
      <c r="KW14" t="n">
        <v>3528</v>
      </c>
      <c r="KX14" t="n">
        <v>66731</v>
      </c>
      <c r="KY14" t="n">
        <v>2285</v>
      </c>
      <c r="KZ14" t="n">
        <v>1407</v>
      </c>
      <c r="LA14" t="n">
        <v>32151</v>
      </c>
      <c r="LB14" t="n">
        <v>1244</v>
      </c>
      <c r="LC14" t="n">
        <v>2781</v>
      </c>
      <c r="LD14" t="n">
        <v>34580</v>
      </c>
      <c r="LE14" t="n">
        <v>1213</v>
      </c>
      <c r="LF14" t="n">
        <v>2776</v>
      </c>
      <c r="LG14" t="n">
        <v>33660</v>
      </c>
      <c r="LH14" t="n">
        <v>0</v>
      </c>
      <c r="LI14" t="n">
        <v>0</v>
      </c>
      <c r="LJ14" t="n">
        <v>0</v>
      </c>
      <c r="LK14" t="n">
        <v>31</v>
      </c>
      <c r="LL14" t="n">
        <v>2982</v>
      </c>
      <c r="LM14" t="n">
        <v>920</v>
      </c>
      <c r="LN14" t="n">
        <v>3776</v>
      </c>
      <c r="LO14" t="n">
        <v>74386</v>
      </c>
      <c r="LP14" t="n">
        <v>2279</v>
      </c>
      <c r="LQ14" t="n">
        <v>1490</v>
      </c>
      <c r="LR14" t="n">
        <v>33952</v>
      </c>
      <c r="LS14" t="n">
        <v>1496</v>
      </c>
      <c r="LT14" t="n">
        <v>2702</v>
      </c>
      <c r="LU14" t="n">
        <v>40434</v>
      </c>
      <c r="LV14" t="n">
        <v>1473</v>
      </c>
      <c r="LW14" t="n">
        <v>2725</v>
      </c>
      <c r="LX14" t="n">
        <v>40141</v>
      </c>
      <c r="LY14" t="inlineStr">
        <is>
          <t>-</t>
        </is>
      </c>
      <c r="LZ14" t="inlineStr">
        <is>
          <t>-</t>
        </is>
      </c>
      <c r="MA14" t="inlineStr">
        <is>
          <t>-</t>
        </is>
      </c>
      <c r="MB14" t="n">
        <v>23</v>
      </c>
      <c r="MC14" t="n">
        <v>1251</v>
      </c>
      <c r="MD14" t="n">
        <v>293</v>
      </c>
      <c r="ME14" t="inlineStr">
        <is>
          <t>-</t>
        </is>
      </c>
      <c r="MF14" t="inlineStr">
        <is>
          <t>-</t>
        </is>
      </c>
      <c r="MG14" t="inlineStr">
        <is>
          <t>-</t>
        </is>
      </c>
      <c r="MH14" t="inlineStr">
        <is>
          <t>-</t>
        </is>
      </c>
      <c r="MI14" t="inlineStr">
        <is>
          <t>-</t>
        </is>
      </c>
      <c r="MJ14" t="inlineStr">
        <is>
          <t>-</t>
        </is>
      </c>
      <c r="MK14" t="inlineStr">
        <is>
          <t>-</t>
        </is>
      </c>
      <c r="ML14" t="inlineStr">
        <is>
          <t>-</t>
        </is>
      </c>
      <c r="MM14" t="n">
        <v>1378</v>
      </c>
      <c r="MN14" t="n">
        <v>2352</v>
      </c>
      <c r="MO14" t="n">
        <v>32393</v>
      </c>
      <c r="MP14" t="inlineStr">
        <is>
          <t>-</t>
        </is>
      </c>
      <c r="MQ14" t="inlineStr">
        <is>
          <t>-</t>
        </is>
      </c>
      <c r="MR14" t="inlineStr">
        <is>
          <t>-</t>
        </is>
      </c>
      <c r="MS14" t="inlineStr">
        <is>
          <t>-</t>
        </is>
      </c>
      <c r="MT14" t="inlineStr">
        <is>
          <t>-</t>
        </is>
      </c>
      <c r="MU14" t="inlineStr">
        <is>
          <t>-</t>
        </is>
      </c>
      <c r="MV14" t="inlineStr">
        <is>
          <t>-</t>
        </is>
      </c>
      <c r="MW14" t="inlineStr">
        <is>
          <t>-</t>
        </is>
      </c>
      <c r="MX14" t="inlineStr">
        <is>
          <t>-</t>
        </is>
      </c>
      <c r="MY14" t="inlineStr">
        <is>
          <t>-</t>
        </is>
      </c>
      <c r="MZ14" t="inlineStr">
        <is>
          <t>-</t>
        </is>
      </c>
      <c r="NA14" t="inlineStr">
        <is>
          <t>-</t>
        </is>
      </c>
      <c r="NB14" t="inlineStr">
        <is>
          <t>-</t>
        </is>
      </c>
      <c r="NC14" t="inlineStr">
        <is>
          <t>-</t>
        </is>
      </c>
      <c r="ND14" t="n">
        <v>1466</v>
      </c>
      <c r="NE14" t="n">
        <v>2665</v>
      </c>
      <c r="NF14" t="n">
        <v>39064</v>
      </c>
      <c r="NG14" t="inlineStr">
        <is>
          <t>-</t>
        </is>
      </c>
      <c r="NH14" t="inlineStr">
        <is>
          <t>-</t>
        </is>
      </c>
      <c r="NI14" t="inlineStr">
        <is>
          <t>-</t>
        </is>
      </c>
      <c r="NJ14" t="inlineStr">
        <is>
          <t>-</t>
        </is>
      </c>
      <c r="NK14" t="inlineStr">
        <is>
          <t>-</t>
        </is>
      </c>
      <c r="NL14" t="inlineStr">
        <is>
          <t>-</t>
        </is>
      </c>
    </row>
    <row r="15">
      <c r="A15" t="inlineStr">
        <is>
          <t>강원특별자치도</t>
        </is>
      </c>
      <c r="B15" t="inlineStr">
        <is>
          <t>소계</t>
        </is>
      </c>
      <c r="C15" t="n">
        <v>7430</v>
      </c>
      <c r="D15" t="n">
        <v>235318</v>
      </c>
      <c r="E15" t="n">
        <v>507</v>
      </c>
      <c r="F15" t="n">
        <v>1853</v>
      </c>
      <c r="G15" t="n">
        <v>9395</v>
      </c>
      <c r="H15" t="n">
        <v>6923</v>
      </c>
      <c r="I15" t="n">
        <v>3263</v>
      </c>
      <c r="J15" t="n">
        <v>225923</v>
      </c>
      <c r="K15" t="n">
        <v>2573</v>
      </c>
      <c r="L15" t="n">
        <v>2830</v>
      </c>
      <c r="M15" t="n">
        <v>72816</v>
      </c>
      <c r="N15" t="n">
        <v>4290</v>
      </c>
      <c r="O15" t="n">
        <v>3534</v>
      </c>
      <c r="P15" t="n">
        <v>151609</v>
      </c>
      <c r="Q15" t="n">
        <v>60</v>
      </c>
      <c r="R15" t="n">
        <v>2497</v>
      </c>
      <c r="S15" t="n">
        <v>1498</v>
      </c>
      <c r="T15" t="n">
        <v>6741</v>
      </c>
      <c r="U15" t="n">
        <v>167703</v>
      </c>
      <c r="V15" t="n">
        <v>527</v>
      </c>
      <c r="W15" t="n">
        <v>1744</v>
      </c>
      <c r="X15" t="n">
        <v>9191</v>
      </c>
      <c r="Y15" t="n">
        <v>6214</v>
      </c>
      <c r="Z15" t="n">
        <v>2551</v>
      </c>
      <c r="AA15" t="n">
        <v>158512</v>
      </c>
      <c r="AB15" t="n">
        <v>2210</v>
      </c>
      <c r="AC15" t="n">
        <v>2799</v>
      </c>
      <c r="AD15" t="n">
        <v>61864</v>
      </c>
      <c r="AE15" t="n">
        <v>3951</v>
      </c>
      <c r="AF15" t="n">
        <v>2410</v>
      </c>
      <c r="AG15" t="n">
        <v>95232</v>
      </c>
      <c r="AH15" t="n">
        <v>53</v>
      </c>
      <c r="AI15" t="n">
        <v>2672</v>
      </c>
      <c r="AJ15" t="n">
        <v>1416</v>
      </c>
      <c r="AK15" t="n">
        <v>5678</v>
      </c>
      <c r="AL15" t="n">
        <v>179694</v>
      </c>
      <c r="AM15" t="n">
        <v>628</v>
      </c>
      <c r="AN15" t="n">
        <v>1737</v>
      </c>
      <c r="AO15" t="n">
        <v>10908</v>
      </c>
      <c r="AP15" t="n">
        <v>5050</v>
      </c>
      <c r="AQ15" t="n">
        <v>3342</v>
      </c>
      <c r="AR15" t="n">
        <v>168786</v>
      </c>
      <c r="AS15" t="n">
        <v>1872</v>
      </c>
      <c r="AT15" t="n">
        <v>3050</v>
      </c>
      <c r="AU15" t="n">
        <v>57100</v>
      </c>
      <c r="AV15" t="n">
        <v>3153</v>
      </c>
      <c r="AW15" t="n">
        <v>3522</v>
      </c>
      <c r="AX15" t="n">
        <v>111043</v>
      </c>
      <c r="AY15" t="n">
        <v>25</v>
      </c>
      <c r="AZ15" t="n">
        <v>2572</v>
      </c>
      <c r="BA15" t="n">
        <v>643</v>
      </c>
      <c r="BB15" t="n">
        <v>5696</v>
      </c>
      <c r="BC15" t="n">
        <v>193074</v>
      </c>
      <c r="BD15" t="n">
        <v>583</v>
      </c>
      <c r="BE15" t="n">
        <v>1755</v>
      </c>
      <c r="BF15" t="n">
        <v>10232</v>
      </c>
      <c r="BG15" t="n">
        <v>5113</v>
      </c>
      <c r="BH15" t="n">
        <v>3576</v>
      </c>
      <c r="BI15" t="n">
        <v>182842</v>
      </c>
      <c r="BJ15" t="n">
        <v>1787</v>
      </c>
      <c r="BK15" t="n">
        <v>3417</v>
      </c>
      <c r="BL15" t="n">
        <v>61062</v>
      </c>
      <c r="BM15" t="n">
        <v>3302</v>
      </c>
      <c r="BN15" t="n">
        <v>3663</v>
      </c>
      <c r="BO15" t="n">
        <v>120960</v>
      </c>
      <c r="BP15" t="n">
        <v>24</v>
      </c>
      <c r="BQ15" t="n">
        <v>3417</v>
      </c>
      <c r="BR15" t="n">
        <v>820</v>
      </c>
      <c r="BS15" t="n">
        <v>5568</v>
      </c>
      <c r="BT15" t="n">
        <v>181244</v>
      </c>
      <c r="BU15" t="n">
        <v>579</v>
      </c>
      <c r="BV15" t="n">
        <v>1732</v>
      </c>
      <c r="BW15" t="n">
        <v>10028</v>
      </c>
      <c r="BX15" t="n">
        <v>4989</v>
      </c>
      <c r="BY15" t="n">
        <v>3432</v>
      </c>
      <c r="BZ15" t="n">
        <v>171216</v>
      </c>
      <c r="CA15" t="n">
        <v>1678</v>
      </c>
      <c r="CB15" t="n">
        <v>3319</v>
      </c>
      <c r="CC15" t="n">
        <v>55699</v>
      </c>
      <c r="CD15" t="n">
        <v>3283</v>
      </c>
      <c r="CE15" t="n">
        <v>3492</v>
      </c>
      <c r="CF15" t="n">
        <v>114631</v>
      </c>
      <c r="CG15" t="n">
        <v>28</v>
      </c>
      <c r="CH15" t="n">
        <v>3165</v>
      </c>
      <c r="CI15" t="n">
        <v>886</v>
      </c>
      <c r="CJ15" t="n">
        <v>6059</v>
      </c>
      <c r="CK15" t="n">
        <v>194105</v>
      </c>
      <c r="CL15" t="n">
        <v>477</v>
      </c>
      <c r="CM15" t="n">
        <v>1542</v>
      </c>
      <c r="CN15" t="n">
        <v>7355</v>
      </c>
      <c r="CO15" t="n">
        <v>5582</v>
      </c>
      <c r="CP15" t="n">
        <v>3346</v>
      </c>
      <c r="CQ15" t="n">
        <v>186750</v>
      </c>
      <c r="CR15" t="n">
        <v>1793</v>
      </c>
      <c r="CS15" t="n">
        <v>2672</v>
      </c>
      <c r="CT15" t="n">
        <v>47907</v>
      </c>
      <c r="CU15" t="n">
        <v>3741</v>
      </c>
      <c r="CV15" t="n">
        <v>3689</v>
      </c>
      <c r="CW15" t="n">
        <v>138022</v>
      </c>
      <c r="CX15" t="n">
        <v>48</v>
      </c>
      <c r="CY15" t="n">
        <v>1710</v>
      </c>
      <c r="CZ15" t="n">
        <v>821</v>
      </c>
      <c r="DA15" t="n">
        <v>6332</v>
      </c>
      <c r="DB15" t="n">
        <v>155244</v>
      </c>
      <c r="DC15" t="n">
        <v>516</v>
      </c>
      <c r="DD15" t="n">
        <v>1496</v>
      </c>
      <c r="DE15" t="n">
        <v>7719</v>
      </c>
      <c r="DF15" t="n">
        <v>5816</v>
      </c>
      <c r="DG15" t="n">
        <v>2537</v>
      </c>
      <c r="DH15" t="n">
        <v>147525</v>
      </c>
      <c r="DI15" t="n">
        <v>2071</v>
      </c>
      <c r="DJ15" t="n">
        <v>2600</v>
      </c>
      <c r="DK15" t="n">
        <v>53841</v>
      </c>
      <c r="DL15" t="n">
        <v>3724</v>
      </c>
      <c r="DM15" t="n">
        <v>2507</v>
      </c>
      <c r="DN15" t="n">
        <v>93349</v>
      </c>
      <c r="DO15" t="n">
        <v>21</v>
      </c>
      <c r="DP15" t="n">
        <v>1593</v>
      </c>
      <c r="DQ15" t="n">
        <v>335</v>
      </c>
      <c r="DR15" t="n">
        <v>6231</v>
      </c>
      <c r="DS15" t="n">
        <v>196572</v>
      </c>
      <c r="DT15" t="n">
        <v>491</v>
      </c>
      <c r="DU15" t="n">
        <v>1476</v>
      </c>
      <c r="DV15" t="n">
        <v>7247</v>
      </c>
      <c r="DW15" t="n">
        <v>5740</v>
      </c>
      <c r="DX15" t="n">
        <v>3298</v>
      </c>
      <c r="DY15" t="n">
        <v>189325</v>
      </c>
      <c r="DZ15" t="n">
        <v>1947</v>
      </c>
      <c r="EA15" t="n">
        <v>3252</v>
      </c>
      <c r="EB15" t="n">
        <v>63322</v>
      </c>
      <c r="EC15" t="n">
        <v>3741</v>
      </c>
      <c r="ED15" t="n">
        <v>3343</v>
      </c>
      <c r="EE15" t="n">
        <v>125077</v>
      </c>
      <c r="EF15" t="n">
        <v>52</v>
      </c>
      <c r="EG15" t="n">
        <v>1781</v>
      </c>
      <c r="EH15" t="n">
        <v>926</v>
      </c>
      <c r="EI15" t="n">
        <v>6825</v>
      </c>
      <c r="EJ15" t="n">
        <v>191441</v>
      </c>
      <c r="EK15" t="n">
        <v>576</v>
      </c>
      <c r="EL15" t="n">
        <v>1486</v>
      </c>
      <c r="EM15" t="n">
        <v>8559</v>
      </c>
      <c r="EN15" t="n">
        <v>6249</v>
      </c>
      <c r="EO15" t="n">
        <v>2927</v>
      </c>
      <c r="EP15" t="n">
        <v>182882</v>
      </c>
      <c r="EQ15" t="n">
        <v>2548</v>
      </c>
      <c r="ER15" t="n">
        <v>2883</v>
      </c>
      <c r="ES15" t="n">
        <v>73465</v>
      </c>
      <c r="ET15" t="n">
        <v>3665</v>
      </c>
      <c r="EU15" t="n">
        <v>2962</v>
      </c>
      <c r="EV15" t="n">
        <v>108562</v>
      </c>
      <c r="EW15" t="n">
        <v>36</v>
      </c>
      <c r="EX15" t="n">
        <v>2375</v>
      </c>
      <c r="EY15" t="n">
        <v>855</v>
      </c>
      <c r="EZ15" t="n">
        <v>5274</v>
      </c>
      <c r="FA15" t="n">
        <v>167404</v>
      </c>
      <c r="FB15" t="n">
        <v>516</v>
      </c>
      <c r="FC15" t="n">
        <v>1511</v>
      </c>
      <c r="FD15" t="n">
        <v>7797</v>
      </c>
      <c r="FE15" t="n">
        <v>4758</v>
      </c>
      <c r="FF15" t="n">
        <v>3354</v>
      </c>
      <c r="FG15" t="n">
        <v>159607</v>
      </c>
      <c r="FH15" t="n">
        <v>1802</v>
      </c>
      <c r="FI15" t="n">
        <v>2881</v>
      </c>
      <c r="FJ15" t="n">
        <v>51919</v>
      </c>
      <c r="FK15" t="n">
        <v>2926</v>
      </c>
      <c r="FL15" t="n">
        <v>3655</v>
      </c>
      <c r="FM15" t="n">
        <v>106947</v>
      </c>
      <c r="FN15" t="n">
        <v>30</v>
      </c>
      <c r="FO15" t="n">
        <v>2470</v>
      </c>
      <c r="FP15" t="n">
        <v>741</v>
      </c>
      <c r="FQ15" t="n">
        <v>5684</v>
      </c>
      <c r="FR15" t="n">
        <v>184661</v>
      </c>
      <c r="FS15" t="n">
        <v>514</v>
      </c>
      <c r="FT15" t="n">
        <v>1486</v>
      </c>
      <c r="FU15" t="n">
        <v>7638</v>
      </c>
      <c r="FV15" t="n">
        <v>5170</v>
      </c>
      <c r="FW15" t="n">
        <v>3424</v>
      </c>
      <c r="FX15" t="n">
        <v>177023</v>
      </c>
      <c r="FY15" t="n">
        <v>1781</v>
      </c>
      <c r="FZ15" t="n">
        <v>2562</v>
      </c>
      <c r="GA15" t="n">
        <v>45629</v>
      </c>
      <c r="GB15" t="n">
        <v>3373</v>
      </c>
      <c r="GC15" t="n">
        <v>3885</v>
      </c>
      <c r="GD15" t="n">
        <v>131025</v>
      </c>
      <c r="GE15" t="n">
        <v>16</v>
      </c>
      <c r="GF15" t="n">
        <v>2305</v>
      </c>
      <c r="GG15" t="n">
        <v>369</v>
      </c>
      <c r="GH15" t="n">
        <v>5574</v>
      </c>
      <c r="GI15" t="n">
        <v>175848</v>
      </c>
      <c r="GJ15" t="n">
        <v>437</v>
      </c>
      <c r="GK15" t="n">
        <v>2529</v>
      </c>
      <c r="GL15" t="n">
        <v>11052</v>
      </c>
      <c r="GM15" t="n">
        <v>5137</v>
      </c>
      <c r="GN15" t="n">
        <v>3208</v>
      </c>
      <c r="GO15" t="n">
        <v>164796</v>
      </c>
      <c r="GP15" t="n">
        <v>1586</v>
      </c>
      <c r="GQ15" t="n">
        <v>2764</v>
      </c>
      <c r="GR15" t="n">
        <v>43835</v>
      </c>
      <c r="GS15" t="n">
        <v>3518</v>
      </c>
      <c r="GT15" t="n">
        <v>3421</v>
      </c>
      <c r="GU15" t="n">
        <v>120345</v>
      </c>
      <c r="GV15" t="n">
        <v>33</v>
      </c>
      <c r="GW15" t="n">
        <v>1866</v>
      </c>
      <c r="GX15" t="n">
        <v>616</v>
      </c>
      <c r="GY15" t="n">
        <v>5410</v>
      </c>
      <c r="GZ15" t="n">
        <v>146091</v>
      </c>
      <c r="HA15" t="n">
        <v>519</v>
      </c>
      <c r="HB15" t="n">
        <v>1511</v>
      </c>
      <c r="HC15" t="n">
        <v>7842</v>
      </c>
      <c r="HD15" t="n">
        <v>4891</v>
      </c>
      <c r="HE15" t="n">
        <v>2826</v>
      </c>
      <c r="HF15" t="n">
        <v>138249</v>
      </c>
      <c r="HG15" t="n">
        <v>1639</v>
      </c>
      <c r="HH15" t="n">
        <v>2386</v>
      </c>
      <c r="HI15" t="n">
        <v>39125</v>
      </c>
      <c r="HJ15" t="n">
        <v>3228</v>
      </c>
      <c r="HK15" t="n">
        <v>3056</v>
      </c>
      <c r="HL15" t="n">
        <v>98639</v>
      </c>
      <c r="HM15" t="n">
        <v>24</v>
      </c>
      <c r="HN15" t="n">
        <v>2023</v>
      </c>
      <c r="HO15" t="n">
        <v>485</v>
      </c>
      <c r="HP15" t="n">
        <v>5614</v>
      </c>
      <c r="HQ15" t="n">
        <v>147361</v>
      </c>
      <c r="HR15" t="n">
        <v>466</v>
      </c>
      <c r="HS15" t="n">
        <v>1554</v>
      </c>
      <c r="HT15" t="n">
        <v>7240</v>
      </c>
      <c r="HU15" t="n">
        <v>5148</v>
      </c>
      <c r="HV15" t="n">
        <v>2722</v>
      </c>
      <c r="HW15" t="n">
        <v>140121</v>
      </c>
      <c r="HX15" t="n">
        <v>1666</v>
      </c>
      <c r="HY15" t="n">
        <v>2865</v>
      </c>
      <c r="HZ15" t="n">
        <v>47731</v>
      </c>
      <c r="IA15" t="n">
        <v>3427</v>
      </c>
      <c r="IB15" t="n">
        <v>2664</v>
      </c>
      <c r="IC15" t="n">
        <v>91277</v>
      </c>
      <c r="ID15" t="n">
        <v>55</v>
      </c>
      <c r="IE15" t="n">
        <v>2017</v>
      </c>
      <c r="IF15" t="n">
        <v>1113</v>
      </c>
      <c r="IG15" t="n">
        <v>6476</v>
      </c>
      <c r="IH15" t="n">
        <v>206375</v>
      </c>
      <c r="II15" t="n">
        <v>563</v>
      </c>
      <c r="IJ15" t="n">
        <v>1282</v>
      </c>
      <c r="IK15" t="n">
        <v>7218</v>
      </c>
      <c r="IL15" t="n">
        <v>5913</v>
      </c>
      <c r="IM15" t="n">
        <v>3368</v>
      </c>
      <c r="IN15" t="n">
        <v>199157</v>
      </c>
      <c r="IO15" t="n">
        <v>2103</v>
      </c>
      <c r="IP15" t="n">
        <v>2851</v>
      </c>
      <c r="IQ15" t="n">
        <v>59973</v>
      </c>
      <c r="IR15" t="n">
        <v>3761</v>
      </c>
      <c r="IS15" t="n">
        <v>3679</v>
      </c>
      <c r="IT15" t="n">
        <v>138378</v>
      </c>
      <c r="IU15" t="n">
        <v>49</v>
      </c>
      <c r="IV15" t="n">
        <v>1635</v>
      </c>
      <c r="IW15" t="n">
        <v>805</v>
      </c>
      <c r="IX15" t="n">
        <v>5804</v>
      </c>
      <c r="IY15" t="n">
        <v>173552</v>
      </c>
      <c r="IZ15" t="n">
        <v>551</v>
      </c>
      <c r="JA15" t="n">
        <v>1425</v>
      </c>
      <c r="JB15" t="n">
        <v>7850</v>
      </c>
      <c r="JC15" t="n">
        <v>5253</v>
      </c>
      <c r="JD15" t="n">
        <v>3154</v>
      </c>
      <c r="JE15" t="n">
        <v>165702</v>
      </c>
      <c r="JF15" t="n">
        <v>1828</v>
      </c>
      <c r="JG15" t="n">
        <v>2496</v>
      </c>
      <c r="JH15" t="n">
        <v>45619</v>
      </c>
      <c r="JI15" t="n">
        <v>3361</v>
      </c>
      <c r="JJ15" t="n">
        <v>3528</v>
      </c>
      <c r="JK15" t="n">
        <v>118595</v>
      </c>
      <c r="JL15" t="n">
        <v>64</v>
      </c>
      <c r="JM15" t="n">
        <v>2331</v>
      </c>
      <c r="JN15" t="n">
        <v>1488</v>
      </c>
      <c r="JO15" t="n">
        <v>6246</v>
      </c>
      <c r="JP15" t="n">
        <v>181066</v>
      </c>
      <c r="JQ15" t="n">
        <v>531</v>
      </c>
      <c r="JR15" t="n">
        <v>1543</v>
      </c>
      <c r="JS15" t="n">
        <v>8197</v>
      </c>
      <c r="JT15" t="n">
        <v>5715</v>
      </c>
      <c r="JU15" t="n">
        <v>3025</v>
      </c>
      <c r="JV15" t="n">
        <v>172869</v>
      </c>
      <c r="JW15" t="n">
        <v>1816</v>
      </c>
      <c r="JX15" t="n">
        <v>3009</v>
      </c>
      <c r="JY15" t="n">
        <v>54629</v>
      </c>
      <c r="JZ15" t="n">
        <v>3877</v>
      </c>
      <c r="KA15" t="n">
        <v>3037</v>
      </c>
      <c r="KB15" t="n">
        <v>117739</v>
      </c>
      <c r="KC15" t="n">
        <v>23</v>
      </c>
      <c r="KD15" t="n">
        <v>2183</v>
      </c>
      <c r="KE15" t="n">
        <v>502</v>
      </c>
      <c r="KF15" t="n">
        <v>5678</v>
      </c>
      <c r="KG15" t="n">
        <v>178257</v>
      </c>
      <c r="KH15" t="n">
        <v>497</v>
      </c>
      <c r="KI15" t="n">
        <v>1259</v>
      </c>
      <c r="KJ15" t="n">
        <v>6253</v>
      </c>
      <c r="KK15" t="n">
        <v>5181</v>
      </c>
      <c r="KL15" t="n">
        <v>3320</v>
      </c>
      <c r="KM15" t="n">
        <v>172004</v>
      </c>
      <c r="KN15" t="n">
        <v>1656</v>
      </c>
      <c r="KO15" t="n">
        <v>2835</v>
      </c>
      <c r="KP15" t="n">
        <v>46947</v>
      </c>
      <c r="KQ15" t="n">
        <v>3491</v>
      </c>
      <c r="KR15" t="n">
        <v>3562</v>
      </c>
      <c r="KS15" t="n">
        <v>124356</v>
      </c>
      <c r="KT15" t="n">
        <v>34</v>
      </c>
      <c r="KU15" t="n">
        <v>2053</v>
      </c>
      <c r="KV15" t="n">
        <v>701</v>
      </c>
      <c r="KW15" t="n">
        <v>6115</v>
      </c>
      <c r="KX15" t="n">
        <v>188123</v>
      </c>
      <c r="KY15" t="n">
        <v>439</v>
      </c>
      <c r="KZ15" t="n">
        <v>1569</v>
      </c>
      <c r="LA15" t="n">
        <v>6880</v>
      </c>
      <c r="LB15" t="n">
        <v>5676</v>
      </c>
      <c r="LC15" t="n">
        <v>3193</v>
      </c>
      <c r="LD15" t="n">
        <v>181243</v>
      </c>
      <c r="LE15" t="n">
        <v>1811</v>
      </c>
      <c r="LF15" t="n">
        <v>2980</v>
      </c>
      <c r="LG15" t="n">
        <v>53969</v>
      </c>
      <c r="LH15" t="n">
        <v>3832</v>
      </c>
      <c r="LI15" t="n">
        <v>3304</v>
      </c>
      <c r="LJ15" t="n">
        <v>126593</v>
      </c>
      <c r="LK15" t="n">
        <v>34</v>
      </c>
      <c r="LL15" t="n">
        <v>2030</v>
      </c>
      <c r="LM15" t="n">
        <v>681</v>
      </c>
      <c r="LN15" t="n">
        <v>6160</v>
      </c>
      <c r="LO15" t="n">
        <v>182408</v>
      </c>
      <c r="LP15" t="n">
        <v>451</v>
      </c>
      <c r="LQ15" t="n">
        <v>1604</v>
      </c>
      <c r="LR15" t="n">
        <v>7230</v>
      </c>
      <c r="LS15" t="n">
        <v>5709</v>
      </c>
      <c r="LT15" t="n">
        <v>3068</v>
      </c>
      <c r="LU15" t="n">
        <v>175178</v>
      </c>
      <c r="LV15" t="n">
        <v>1728</v>
      </c>
      <c r="LW15" t="n">
        <v>2765</v>
      </c>
      <c r="LX15" t="n">
        <v>47790</v>
      </c>
      <c r="LY15" t="n">
        <v>3922</v>
      </c>
      <c r="LZ15" t="n">
        <v>3218</v>
      </c>
      <c r="MA15" t="n">
        <v>126202</v>
      </c>
      <c r="MB15" t="n">
        <v>59</v>
      </c>
      <c r="MC15" t="n">
        <v>2013</v>
      </c>
      <c r="MD15" t="n">
        <v>1186</v>
      </c>
      <c r="ME15" t="inlineStr">
        <is>
          <t>-</t>
        </is>
      </c>
      <c r="MF15" t="inlineStr">
        <is>
          <t>-</t>
        </is>
      </c>
      <c r="MG15" t="inlineStr">
        <is>
          <t>-</t>
        </is>
      </c>
      <c r="MH15" t="inlineStr">
        <is>
          <t>-</t>
        </is>
      </c>
      <c r="MI15" t="inlineStr">
        <is>
          <t>-</t>
        </is>
      </c>
      <c r="MJ15" t="inlineStr">
        <is>
          <t>-</t>
        </is>
      </c>
      <c r="MK15" t="inlineStr">
        <is>
          <t>-</t>
        </is>
      </c>
      <c r="ML15" t="inlineStr">
        <is>
          <t>-</t>
        </is>
      </c>
      <c r="MM15" t="n">
        <v>1750</v>
      </c>
      <c r="MN15" t="n">
        <v>2761</v>
      </c>
      <c r="MO15" t="n">
        <v>48299</v>
      </c>
      <c r="MP15" t="n">
        <v>3600</v>
      </c>
      <c r="MQ15" t="n">
        <v>3171</v>
      </c>
      <c r="MR15" t="n">
        <v>114145</v>
      </c>
      <c r="MS15" t="inlineStr">
        <is>
          <t>-</t>
        </is>
      </c>
      <c r="MT15" t="inlineStr">
        <is>
          <t>-</t>
        </is>
      </c>
      <c r="MU15" t="inlineStr">
        <is>
          <t>-</t>
        </is>
      </c>
      <c r="MV15" t="inlineStr">
        <is>
          <t>-</t>
        </is>
      </c>
      <c r="MW15" t="inlineStr">
        <is>
          <t>-</t>
        </is>
      </c>
      <c r="MX15" t="inlineStr">
        <is>
          <t>-</t>
        </is>
      </c>
      <c r="MY15" t="inlineStr">
        <is>
          <t>-</t>
        </is>
      </c>
      <c r="MZ15" t="inlineStr">
        <is>
          <t>-</t>
        </is>
      </c>
      <c r="NA15" t="inlineStr">
        <is>
          <t>-</t>
        </is>
      </c>
      <c r="NB15" t="inlineStr">
        <is>
          <t>-</t>
        </is>
      </c>
      <c r="NC15" t="inlineStr">
        <is>
          <t>-</t>
        </is>
      </c>
      <c r="ND15" t="n">
        <v>2023</v>
      </c>
      <c r="NE15" t="n">
        <v>2777</v>
      </c>
      <c r="NF15" t="n">
        <v>56190</v>
      </c>
      <c r="NG15" t="inlineStr">
        <is>
          <t>-</t>
        </is>
      </c>
      <c r="NH15" t="inlineStr">
        <is>
          <t>-</t>
        </is>
      </c>
      <c r="NI15" t="inlineStr">
        <is>
          <t>-</t>
        </is>
      </c>
      <c r="NJ15" t="inlineStr">
        <is>
          <t>-</t>
        </is>
      </c>
      <c r="NK15" t="inlineStr">
        <is>
          <t>-</t>
        </is>
      </c>
      <c r="NL15" t="inlineStr">
        <is>
          <t>-</t>
        </is>
      </c>
    </row>
    <row r="16">
      <c r="A16" t="inlineStr">
        <is>
          <t>충청북도</t>
        </is>
      </c>
      <c r="B16" t="inlineStr">
        <is>
          <t>소계</t>
        </is>
      </c>
      <c r="C16" t="n">
        <v>2565</v>
      </c>
      <c r="D16" t="n">
        <v>64923</v>
      </c>
      <c r="E16" t="n">
        <v>836</v>
      </c>
      <c r="F16" t="n">
        <v>1794</v>
      </c>
      <c r="G16" t="n">
        <v>14998</v>
      </c>
      <c r="H16" t="n">
        <v>1729</v>
      </c>
      <c r="I16" t="n">
        <v>2888</v>
      </c>
      <c r="J16" t="n">
        <v>49925</v>
      </c>
      <c r="K16" t="n">
        <v>1640</v>
      </c>
      <c r="L16" t="n">
        <v>2890</v>
      </c>
      <c r="M16" t="n">
        <v>47396</v>
      </c>
      <c r="N16" t="n">
        <v>0</v>
      </c>
      <c r="O16" t="n">
        <v>0</v>
      </c>
      <c r="P16" t="n">
        <v>0</v>
      </c>
      <c r="Q16" t="n">
        <v>89</v>
      </c>
      <c r="R16" t="n">
        <v>2842</v>
      </c>
      <c r="S16" t="n">
        <v>2529</v>
      </c>
      <c r="T16" t="n">
        <v>2019</v>
      </c>
      <c r="U16" t="n">
        <v>47079</v>
      </c>
      <c r="V16" t="n">
        <v>828</v>
      </c>
      <c r="W16" t="n">
        <v>1822</v>
      </c>
      <c r="X16" t="n">
        <v>15086</v>
      </c>
      <c r="Y16" t="n">
        <v>1191</v>
      </c>
      <c r="Z16" t="n">
        <v>2686</v>
      </c>
      <c r="AA16" t="n">
        <v>31993</v>
      </c>
      <c r="AB16" t="n">
        <v>1170</v>
      </c>
      <c r="AC16" t="n">
        <v>2686</v>
      </c>
      <c r="AD16" t="n">
        <v>31429</v>
      </c>
      <c r="AE16" t="n">
        <v>0</v>
      </c>
      <c r="AF16" t="n">
        <v>0</v>
      </c>
      <c r="AG16" t="n">
        <v>0</v>
      </c>
      <c r="AH16" t="n">
        <v>21</v>
      </c>
      <c r="AI16" t="n">
        <v>2686</v>
      </c>
      <c r="AJ16" t="n">
        <v>564</v>
      </c>
      <c r="AK16" t="n">
        <v>2199</v>
      </c>
      <c r="AL16" t="n">
        <v>44018</v>
      </c>
      <c r="AM16" t="n">
        <v>1160</v>
      </c>
      <c r="AN16" t="n">
        <v>1590</v>
      </c>
      <c r="AO16" t="n">
        <v>18444</v>
      </c>
      <c r="AP16" t="n">
        <v>1039</v>
      </c>
      <c r="AQ16" t="n">
        <v>2461</v>
      </c>
      <c r="AR16" t="n">
        <v>25574</v>
      </c>
      <c r="AS16" t="n">
        <v>1030</v>
      </c>
      <c r="AT16" t="n">
        <v>2462</v>
      </c>
      <c r="AU16" t="n">
        <v>25354</v>
      </c>
      <c r="AV16" t="n">
        <v>0</v>
      </c>
      <c r="AW16" t="n">
        <v>0</v>
      </c>
      <c r="AX16" t="n">
        <v>0</v>
      </c>
      <c r="AY16" t="n">
        <v>9</v>
      </c>
      <c r="AZ16" t="n">
        <v>2444</v>
      </c>
      <c r="BA16" t="n">
        <v>220</v>
      </c>
      <c r="BB16" t="n">
        <v>2419</v>
      </c>
      <c r="BC16" t="n">
        <v>50150</v>
      </c>
      <c r="BD16" t="n">
        <v>1240</v>
      </c>
      <c r="BE16" t="n">
        <v>1694</v>
      </c>
      <c r="BF16" t="n">
        <v>21006</v>
      </c>
      <c r="BG16" t="n">
        <v>1179</v>
      </c>
      <c r="BH16" t="n">
        <v>2472</v>
      </c>
      <c r="BI16" t="n">
        <v>29144</v>
      </c>
      <c r="BJ16" t="n">
        <v>1164</v>
      </c>
      <c r="BK16" t="n">
        <v>2473</v>
      </c>
      <c r="BL16" t="n">
        <v>28781</v>
      </c>
      <c r="BM16" t="n">
        <v>0</v>
      </c>
      <c r="BN16" t="n">
        <v>0</v>
      </c>
      <c r="BO16" t="n">
        <v>0</v>
      </c>
      <c r="BP16" t="n">
        <v>15</v>
      </c>
      <c r="BQ16" t="n">
        <v>2420</v>
      </c>
      <c r="BR16" t="n">
        <v>363</v>
      </c>
      <c r="BS16" t="n">
        <v>2670</v>
      </c>
      <c r="BT16" t="n">
        <v>62871</v>
      </c>
      <c r="BU16" t="n">
        <v>1351</v>
      </c>
      <c r="BV16" t="n">
        <v>1819</v>
      </c>
      <c r="BW16" t="n">
        <v>24575</v>
      </c>
      <c r="BX16" t="n">
        <v>1319</v>
      </c>
      <c r="BY16" t="n">
        <v>2903</v>
      </c>
      <c r="BZ16" t="n">
        <v>38296</v>
      </c>
      <c r="CA16" t="n">
        <v>1308</v>
      </c>
      <c r="CB16" t="n">
        <v>2909</v>
      </c>
      <c r="CC16" t="n">
        <v>38049</v>
      </c>
      <c r="CD16" t="n">
        <v>0</v>
      </c>
      <c r="CE16" t="n">
        <v>0</v>
      </c>
      <c r="CF16" t="n">
        <v>0</v>
      </c>
      <c r="CG16" t="n">
        <v>11</v>
      </c>
      <c r="CH16" t="n">
        <v>2248</v>
      </c>
      <c r="CI16" t="n">
        <v>247</v>
      </c>
      <c r="CJ16" t="n">
        <v>3125</v>
      </c>
      <c r="CK16" t="n">
        <v>61216</v>
      </c>
      <c r="CL16" t="n">
        <v>1435</v>
      </c>
      <c r="CM16" t="n">
        <v>1550</v>
      </c>
      <c r="CN16" t="n">
        <v>22243</v>
      </c>
      <c r="CO16" t="n">
        <v>1690</v>
      </c>
      <c r="CP16" t="n">
        <v>2306</v>
      </c>
      <c r="CQ16" t="n">
        <v>38973</v>
      </c>
      <c r="CR16" t="n">
        <v>1673</v>
      </c>
      <c r="CS16" t="n">
        <v>2309</v>
      </c>
      <c r="CT16" t="n">
        <v>38626</v>
      </c>
      <c r="CU16" t="n">
        <v>0</v>
      </c>
      <c r="CV16" t="n">
        <v>0</v>
      </c>
      <c r="CW16" t="n">
        <v>0</v>
      </c>
      <c r="CX16" t="n">
        <v>17</v>
      </c>
      <c r="CY16" t="n">
        <v>2040</v>
      </c>
      <c r="CZ16" t="n">
        <v>347</v>
      </c>
      <c r="DA16" t="n">
        <v>3402</v>
      </c>
      <c r="DB16" t="n">
        <v>76756</v>
      </c>
      <c r="DC16" t="n">
        <v>1264</v>
      </c>
      <c r="DD16" t="n">
        <v>1497</v>
      </c>
      <c r="DE16" t="n">
        <v>18922</v>
      </c>
      <c r="DF16" t="n">
        <v>2138</v>
      </c>
      <c r="DG16" t="n">
        <v>2705</v>
      </c>
      <c r="DH16" t="n">
        <v>57834</v>
      </c>
      <c r="DI16" t="n">
        <v>2102</v>
      </c>
      <c r="DJ16" t="n">
        <v>2720</v>
      </c>
      <c r="DK16" t="n">
        <v>57164</v>
      </c>
      <c r="DL16" t="n">
        <v>0</v>
      </c>
      <c r="DM16" t="n">
        <v>0</v>
      </c>
      <c r="DN16" t="n">
        <v>0</v>
      </c>
      <c r="DO16" t="n">
        <v>36</v>
      </c>
      <c r="DP16" t="n">
        <v>1861</v>
      </c>
      <c r="DQ16" t="n">
        <v>670</v>
      </c>
      <c r="DR16" t="n">
        <v>3401</v>
      </c>
      <c r="DS16" t="n">
        <v>60623</v>
      </c>
      <c r="DT16" t="n">
        <v>1685</v>
      </c>
      <c r="DU16" t="n">
        <v>1422</v>
      </c>
      <c r="DV16" t="n">
        <v>23961</v>
      </c>
      <c r="DW16" t="n">
        <v>1716</v>
      </c>
      <c r="DX16" t="n">
        <v>2136</v>
      </c>
      <c r="DY16" t="n">
        <v>36662</v>
      </c>
      <c r="DZ16" t="n">
        <v>1679</v>
      </c>
      <c r="EA16" t="n">
        <v>2150</v>
      </c>
      <c r="EB16" t="n">
        <v>36107</v>
      </c>
      <c r="EC16" t="n">
        <v>0</v>
      </c>
      <c r="ED16" t="n">
        <v>0</v>
      </c>
      <c r="EE16" t="n">
        <v>0</v>
      </c>
      <c r="EF16" t="n">
        <v>37</v>
      </c>
      <c r="EG16" t="n">
        <v>1499</v>
      </c>
      <c r="EH16" t="n">
        <v>555</v>
      </c>
      <c r="EI16" t="n">
        <v>3747</v>
      </c>
      <c r="EJ16" t="n">
        <v>83596</v>
      </c>
      <c r="EK16" t="n">
        <v>1615</v>
      </c>
      <c r="EL16" t="n">
        <v>1506</v>
      </c>
      <c r="EM16" t="n">
        <v>24322</v>
      </c>
      <c r="EN16" t="n">
        <v>2132</v>
      </c>
      <c r="EO16" t="n">
        <v>2780</v>
      </c>
      <c r="EP16" t="n">
        <v>59274</v>
      </c>
      <c r="EQ16" t="n">
        <v>2080</v>
      </c>
      <c r="ER16" t="n">
        <v>2811</v>
      </c>
      <c r="ES16" t="n">
        <v>58475</v>
      </c>
      <c r="ET16" t="n">
        <v>0</v>
      </c>
      <c r="EU16" t="n">
        <v>0</v>
      </c>
      <c r="EV16" t="n">
        <v>0</v>
      </c>
      <c r="EW16" t="n">
        <v>52</v>
      </c>
      <c r="EX16" t="n">
        <v>1537</v>
      </c>
      <c r="EY16" t="n">
        <v>799</v>
      </c>
      <c r="EZ16" t="n">
        <v>3019</v>
      </c>
      <c r="FA16" t="n">
        <v>61305</v>
      </c>
      <c r="FB16" t="n">
        <v>1416</v>
      </c>
      <c r="FC16" t="n">
        <v>1504</v>
      </c>
      <c r="FD16" t="n">
        <v>21297</v>
      </c>
      <c r="FE16" t="n">
        <v>1603</v>
      </c>
      <c r="FF16" t="n">
        <v>2496</v>
      </c>
      <c r="FG16" t="n">
        <v>40008</v>
      </c>
      <c r="FH16" t="n">
        <v>1494</v>
      </c>
      <c r="FI16" t="n">
        <v>2564</v>
      </c>
      <c r="FJ16" t="n">
        <v>38301</v>
      </c>
      <c r="FK16" t="n">
        <v>0</v>
      </c>
      <c r="FL16" t="n">
        <v>0</v>
      </c>
      <c r="FM16" t="n">
        <v>0</v>
      </c>
      <c r="FN16" t="n">
        <v>109</v>
      </c>
      <c r="FO16" t="n">
        <v>1566</v>
      </c>
      <c r="FP16" t="n">
        <v>1707</v>
      </c>
      <c r="FQ16" t="n">
        <v>2328</v>
      </c>
      <c r="FR16" t="n">
        <v>43145</v>
      </c>
      <c r="FS16" t="n">
        <v>1286</v>
      </c>
      <c r="FT16" t="n">
        <v>1547</v>
      </c>
      <c r="FU16" t="n">
        <v>19894</v>
      </c>
      <c r="FV16" t="n">
        <v>1042</v>
      </c>
      <c r="FW16" t="n">
        <v>2231</v>
      </c>
      <c r="FX16" t="n">
        <v>23251</v>
      </c>
      <c r="FY16" t="n">
        <v>1024</v>
      </c>
      <c r="FZ16" t="n">
        <v>2243</v>
      </c>
      <c r="GA16" t="n">
        <v>22968</v>
      </c>
      <c r="GB16" t="n">
        <v>0</v>
      </c>
      <c r="GC16" t="n">
        <v>0</v>
      </c>
      <c r="GD16" t="n">
        <v>0</v>
      </c>
      <c r="GE16" t="n">
        <v>18</v>
      </c>
      <c r="GF16" t="n">
        <v>1572</v>
      </c>
      <c r="GG16" t="n">
        <v>283</v>
      </c>
      <c r="GH16" t="n">
        <v>2900</v>
      </c>
      <c r="GI16" t="n">
        <v>55894</v>
      </c>
      <c r="GJ16" t="n">
        <v>1696</v>
      </c>
      <c r="GK16" t="n">
        <v>1532</v>
      </c>
      <c r="GL16" t="n">
        <v>25983</v>
      </c>
      <c r="GM16" t="n">
        <v>1204</v>
      </c>
      <c r="GN16" t="n">
        <v>2484</v>
      </c>
      <c r="GO16" t="n">
        <v>29911</v>
      </c>
      <c r="GP16" t="n">
        <v>1080</v>
      </c>
      <c r="GQ16" t="n">
        <v>2573</v>
      </c>
      <c r="GR16" t="n">
        <v>27787</v>
      </c>
      <c r="GS16" t="n">
        <v>0</v>
      </c>
      <c r="GT16" t="n">
        <v>0</v>
      </c>
      <c r="GU16" t="n">
        <v>0</v>
      </c>
      <c r="GV16" t="n">
        <v>124</v>
      </c>
      <c r="GW16" t="n">
        <v>1713</v>
      </c>
      <c r="GX16" t="n">
        <v>2124</v>
      </c>
      <c r="GY16" t="n">
        <v>2783</v>
      </c>
      <c r="GZ16" t="n">
        <v>48137</v>
      </c>
      <c r="HA16" t="n">
        <v>1571</v>
      </c>
      <c r="HB16" t="n">
        <v>1506</v>
      </c>
      <c r="HC16" t="n">
        <v>23664</v>
      </c>
      <c r="HD16" t="n">
        <v>1212</v>
      </c>
      <c r="HE16" t="n">
        <v>2019</v>
      </c>
      <c r="HF16" t="n">
        <v>24473</v>
      </c>
      <c r="HG16" t="n">
        <v>1146</v>
      </c>
      <c r="HH16" t="n">
        <v>2037</v>
      </c>
      <c r="HI16" t="n">
        <v>23338</v>
      </c>
      <c r="HJ16" t="n">
        <v>0</v>
      </c>
      <c r="HK16" t="n">
        <v>0</v>
      </c>
      <c r="HL16" t="n">
        <v>0</v>
      </c>
      <c r="HM16" t="n">
        <v>66</v>
      </c>
      <c r="HN16" t="n">
        <v>1720</v>
      </c>
      <c r="HO16" t="n">
        <v>1135</v>
      </c>
      <c r="HP16" t="n">
        <v>2882</v>
      </c>
      <c r="HQ16" t="n">
        <v>50449</v>
      </c>
      <c r="HR16" t="n">
        <v>1515</v>
      </c>
      <c r="HS16" t="n">
        <v>1251</v>
      </c>
      <c r="HT16" t="n">
        <v>18951</v>
      </c>
      <c r="HU16" t="n">
        <v>1367</v>
      </c>
      <c r="HV16" t="n">
        <v>2304</v>
      </c>
      <c r="HW16" t="n">
        <v>31498</v>
      </c>
      <c r="HX16" t="n">
        <v>1273</v>
      </c>
      <c r="HY16" t="n">
        <v>2355</v>
      </c>
      <c r="HZ16" t="n">
        <v>29974</v>
      </c>
      <c r="IA16" t="n">
        <v>0</v>
      </c>
      <c r="IB16" t="n">
        <v>0</v>
      </c>
      <c r="IC16" t="n">
        <v>0</v>
      </c>
      <c r="ID16" t="n">
        <v>95</v>
      </c>
      <c r="IE16" t="n">
        <v>1608</v>
      </c>
      <c r="IF16" t="n">
        <v>1524</v>
      </c>
      <c r="IG16" t="n">
        <v>3069</v>
      </c>
      <c r="IH16" t="n">
        <v>53827</v>
      </c>
      <c r="II16" t="n">
        <v>1602</v>
      </c>
      <c r="IJ16" t="n">
        <v>1206</v>
      </c>
      <c r="IK16" t="n">
        <v>19320</v>
      </c>
      <c r="IL16" t="n">
        <v>1467</v>
      </c>
      <c r="IM16" t="n">
        <v>2352</v>
      </c>
      <c r="IN16" t="n">
        <v>34507</v>
      </c>
      <c r="IO16" t="n">
        <v>1346</v>
      </c>
      <c r="IP16" t="n">
        <v>2430</v>
      </c>
      <c r="IQ16" t="n">
        <v>32716</v>
      </c>
      <c r="IR16" t="n">
        <v>0</v>
      </c>
      <c r="IS16" t="n">
        <v>0</v>
      </c>
      <c r="IT16" t="n">
        <v>0</v>
      </c>
      <c r="IU16" t="n">
        <v>121</v>
      </c>
      <c r="IV16" t="n">
        <v>1477</v>
      </c>
      <c r="IW16" t="n">
        <v>1791</v>
      </c>
      <c r="IX16" t="n">
        <v>2945</v>
      </c>
      <c r="IY16" t="n">
        <v>48776</v>
      </c>
      <c r="IZ16" t="n">
        <v>1663</v>
      </c>
      <c r="JA16" t="n">
        <v>1144</v>
      </c>
      <c r="JB16" t="n">
        <v>19025</v>
      </c>
      <c r="JC16" t="n">
        <v>1282</v>
      </c>
      <c r="JD16" t="n">
        <v>2322</v>
      </c>
      <c r="JE16" t="n">
        <v>29751</v>
      </c>
      <c r="JF16" t="n">
        <v>1270</v>
      </c>
      <c r="JG16" t="n">
        <v>2330</v>
      </c>
      <c r="JH16" t="n">
        <v>29582</v>
      </c>
      <c r="JI16" t="n">
        <v>0</v>
      </c>
      <c r="JJ16" t="n">
        <v>0</v>
      </c>
      <c r="JK16" t="n">
        <v>0</v>
      </c>
      <c r="JL16" t="n">
        <v>12</v>
      </c>
      <c r="JM16" t="n">
        <v>1439</v>
      </c>
      <c r="JN16" t="n">
        <v>169</v>
      </c>
      <c r="JO16" t="n">
        <v>2712</v>
      </c>
      <c r="JP16" t="n">
        <v>45314</v>
      </c>
      <c r="JQ16" t="n">
        <v>1686</v>
      </c>
      <c r="JR16" t="n">
        <v>1150</v>
      </c>
      <c r="JS16" t="n">
        <v>19393</v>
      </c>
      <c r="JT16" t="n">
        <v>1026</v>
      </c>
      <c r="JU16" t="n">
        <v>2527</v>
      </c>
      <c r="JV16" t="n">
        <v>25921</v>
      </c>
      <c r="JW16" t="n">
        <v>1006</v>
      </c>
      <c r="JX16" t="n">
        <v>2548</v>
      </c>
      <c r="JY16" t="n">
        <v>25632</v>
      </c>
      <c r="JZ16" t="n">
        <v>0</v>
      </c>
      <c r="KA16" t="n">
        <v>0</v>
      </c>
      <c r="KB16" t="n">
        <v>0</v>
      </c>
      <c r="KC16" t="n">
        <v>20</v>
      </c>
      <c r="KD16" t="n">
        <v>1463</v>
      </c>
      <c r="KE16" t="n">
        <v>289</v>
      </c>
      <c r="KF16" t="n">
        <v>2274</v>
      </c>
      <c r="KG16" t="n">
        <v>36014</v>
      </c>
      <c r="KH16" t="n">
        <v>1425</v>
      </c>
      <c r="KI16" t="n">
        <v>1180</v>
      </c>
      <c r="KJ16" t="n">
        <v>16806</v>
      </c>
      <c r="KK16" t="n">
        <v>850</v>
      </c>
      <c r="KL16" t="n">
        <v>2261</v>
      </c>
      <c r="KM16" t="n">
        <v>19208</v>
      </c>
      <c r="KN16" t="n">
        <v>845</v>
      </c>
      <c r="KO16" t="n">
        <v>2265</v>
      </c>
      <c r="KP16" t="n">
        <v>19145</v>
      </c>
      <c r="KQ16" t="n">
        <v>0</v>
      </c>
      <c r="KR16" t="n">
        <v>0</v>
      </c>
      <c r="KS16" t="n">
        <v>0</v>
      </c>
      <c r="KT16" t="n">
        <v>4</v>
      </c>
      <c r="KU16" t="n">
        <v>1512</v>
      </c>
      <c r="KV16" t="n">
        <v>63</v>
      </c>
      <c r="KW16" t="n">
        <v>2431</v>
      </c>
      <c r="KX16" t="n">
        <v>43228</v>
      </c>
      <c r="KY16" t="n">
        <v>1181</v>
      </c>
      <c r="KZ16" t="n">
        <v>1098</v>
      </c>
      <c r="LA16" t="n">
        <v>12964</v>
      </c>
      <c r="LB16" t="n">
        <v>1250</v>
      </c>
      <c r="LC16" t="n">
        <v>2421</v>
      </c>
      <c r="LD16" t="n">
        <v>30264</v>
      </c>
      <c r="LE16" t="n">
        <v>1230</v>
      </c>
      <c r="LF16" t="n">
        <v>2438</v>
      </c>
      <c r="LG16" t="n">
        <v>29979</v>
      </c>
      <c r="LH16" t="n">
        <v>0</v>
      </c>
      <c r="LI16" t="n">
        <v>0</v>
      </c>
      <c r="LJ16" t="n">
        <v>0</v>
      </c>
      <c r="LK16" t="n">
        <v>20</v>
      </c>
      <c r="LL16" t="n">
        <v>1404</v>
      </c>
      <c r="LM16" t="n">
        <v>285</v>
      </c>
      <c r="LN16" t="n">
        <v>2509</v>
      </c>
      <c r="LO16" t="n">
        <v>51798</v>
      </c>
      <c r="LP16" t="n">
        <v>1174</v>
      </c>
      <c r="LQ16" t="n">
        <v>1356</v>
      </c>
      <c r="LR16" t="n">
        <v>15915</v>
      </c>
      <c r="LS16" t="n">
        <v>1335</v>
      </c>
      <c r="LT16" t="n">
        <v>2687</v>
      </c>
      <c r="LU16" t="n">
        <v>35883</v>
      </c>
      <c r="LV16" t="n">
        <v>1312</v>
      </c>
      <c r="LW16" t="n">
        <v>2709</v>
      </c>
      <c r="LX16" t="n">
        <v>35532</v>
      </c>
      <c r="LY16" t="inlineStr">
        <is>
          <t>-</t>
        </is>
      </c>
      <c r="LZ16" t="inlineStr">
        <is>
          <t>-</t>
        </is>
      </c>
      <c r="MA16" t="inlineStr">
        <is>
          <t>-</t>
        </is>
      </c>
      <c r="MB16" t="n">
        <v>24</v>
      </c>
      <c r="MC16" t="n">
        <v>1494</v>
      </c>
      <c r="MD16" t="n">
        <v>351</v>
      </c>
      <c r="ME16" t="inlineStr">
        <is>
          <t>-</t>
        </is>
      </c>
      <c r="MF16" t="inlineStr">
        <is>
          <t>-</t>
        </is>
      </c>
      <c r="MG16" t="inlineStr">
        <is>
          <t>-</t>
        </is>
      </c>
      <c r="MH16" t="inlineStr">
        <is>
          <t>-</t>
        </is>
      </c>
      <c r="MI16" t="inlineStr">
        <is>
          <t>-</t>
        </is>
      </c>
      <c r="MJ16" t="inlineStr">
        <is>
          <t>-</t>
        </is>
      </c>
      <c r="MK16" t="inlineStr">
        <is>
          <t>-</t>
        </is>
      </c>
      <c r="ML16" t="inlineStr">
        <is>
          <t>-</t>
        </is>
      </c>
      <c r="MM16" t="n">
        <v>1127</v>
      </c>
      <c r="MN16" t="n">
        <v>2469</v>
      </c>
      <c r="MO16" t="n">
        <v>27838</v>
      </c>
      <c r="MP16" t="inlineStr">
        <is>
          <t>-</t>
        </is>
      </c>
      <c r="MQ16" t="inlineStr">
        <is>
          <t>-</t>
        </is>
      </c>
      <c r="MR16" t="inlineStr">
        <is>
          <t>-</t>
        </is>
      </c>
      <c r="MS16" t="inlineStr">
        <is>
          <t>-</t>
        </is>
      </c>
      <c r="MT16" t="inlineStr">
        <is>
          <t>-</t>
        </is>
      </c>
      <c r="MU16" t="inlineStr">
        <is>
          <t>-</t>
        </is>
      </c>
      <c r="MV16" t="inlineStr">
        <is>
          <t>-</t>
        </is>
      </c>
      <c r="MW16" t="inlineStr">
        <is>
          <t>-</t>
        </is>
      </c>
      <c r="MX16" t="inlineStr">
        <is>
          <t>-</t>
        </is>
      </c>
      <c r="MY16" t="inlineStr">
        <is>
          <t>-</t>
        </is>
      </c>
      <c r="MZ16" t="inlineStr">
        <is>
          <t>-</t>
        </is>
      </c>
      <c r="NA16" t="inlineStr">
        <is>
          <t>-</t>
        </is>
      </c>
      <c r="NB16" t="inlineStr">
        <is>
          <t>-</t>
        </is>
      </c>
      <c r="NC16" t="inlineStr">
        <is>
          <t>-</t>
        </is>
      </c>
      <c r="ND16" t="n">
        <v>1012</v>
      </c>
      <c r="NE16" t="n">
        <v>2135</v>
      </c>
      <c r="NF16" t="n">
        <v>21600</v>
      </c>
      <c r="NG16" t="inlineStr">
        <is>
          <t>-</t>
        </is>
      </c>
      <c r="NH16" t="inlineStr">
        <is>
          <t>-</t>
        </is>
      </c>
      <c r="NI16" t="inlineStr">
        <is>
          <t>-</t>
        </is>
      </c>
      <c r="NJ16" t="inlineStr">
        <is>
          <t>-</t>
        </is>
      </c>
      <c r="NK16" t="inlineStr">
        <is>
          <t>-</t>
        </is>
      </c>
      <c r="NL16" t="inlineStr">
        <is>
          <t>-</t>
        </is>
      </c>
    </row>
    <row r="17">
      <c r="A17" t="inlineStr">
        <is>
          <t>충청남도</t>
        </is>
      </c>
      <c r="B17" t="inlineStr">
        <is>
          <t>소계</t>
        </is>
      </c>
      <c r="C17" t="n">
        <v>4073</v>
      </c>
      <c r="D17" t="n">
        <v>94150</v>
      </c>
      <c r="E17" t="n">
        <v>1944</v>
      </c>
      <c r="F17" t="n">
        <v>1532</v>
      </c>
      <c r="G17" t="n">
        <v>29782</v>
      </c>
      <c r="H17" t="n">
        <v>2129</v>
      </c>
      <c r="I17" t="n">
        <v>3023</v>
      </c>
      <c r="J17" t="n">
        <v>64368</v>
      </c>
      <c r="K17" t="n">
        <v>1970</v>
      </c>
      <c r="L17" t="n">
        <v>3039</v>
      </c>
      <c r="M17" t="n">
        <v>59868</v>
      </c>
      <c r="N17" t="n">
        <v>0</v>
      </c>
      <c r="O17" t="n">
        <v>0</v>
      </c>
      <c r="P17" t="n">
        <v>0</v>
      </c>
      <c r="Q17" t="n">
        <v>159</v>
      </c>
      <c r="R17" t="n">
        <v>2830</v>
      </c>
      <c r="S17" t="n">
        <v>4500</v>
      </c>
      <c r="T17" t="n">
        <v>3574</v>
      </c>
      <c r="U17" t="n">
        <v>80145</v>
      </c>
      <c r="V17" t="n">
        <v>1859</v>
      </c>
      <c r="W17" t="n">
        <v>1554</v>
      </c>
      <c r="X17" t="n">
        <v>28889</v>
      </c>
      <c r="Y17" t="n">
        <v>1715</v>
      </c>
      <c r="Z17" t="n">
        <v>2989</v>
      </c>
      <c r="AA17" t="n">
        <v>51256</v>
      </c>
      <c r="AB17" t="n">
        <v>1641</v>
      </c>
      <c r="AC17" t="n">
        <v>3012</v>
      </c>
      <c r="AD17" t="n">
        <v>49426</v>
      </c>
      <c r="AE17" t="n">
        <v>0</v>
      </c>
      <c r="AF17" t="n">
        <v>0</v>
      </c>
      <c r="AG17" t="n">
        <v>0</v>
      </c>
      <c r="AH17" t="n">
        <v>74</v>
      </c>
      <c r="AI17" t="n">
        <v>2473</v>
      </c>
      <c r="AJ17" t="n">
        <v>1830</v>
      </c>
      <c r="AK17" t="n">
        <v>4725</v>
      </c>
      <c r="AL17" t="n">
        <v>99003</v>
      </c>
      <c r="AM17" t="n">
        <v>2958</v>
      </c>
      <c r="AN17" t="n">
        <v>1573</v>
      </c>
      <c r="AO17" t="n">
        <v>46529</v>
      </c>
      <c r="AP17" t="n">
        <v>1767</v>
      </c>
      <c r="AQ17" t="n">
        <v>2970</v>
      </c>
      <c r="AR17" t="n">
        <v>52474</v>
      </c>
      <c r="AS17" t="n">
        <v>1611</v>
      </c>
      <c r="AT17" t="n">
        <v>2982</v>
      </c>
      <c r="AU17" t="n">
        <v>48039</v>
      </c>
      <c r="AV17" t="n">
        <v>1</v>
      </c>
      <c r="AW17" t="n">
        <v>3522</v>
      </c>
      <c r="AX17" t="n">
        <v>35</v>
      </c>
      <c r="AY17" t="n">
        <v>155</v>
      </c>
      <c r="AZ17" t="n">
        <v>2839</v>
      </c>
      <c r="BA17" t="n">
        <v>4400</v>
      </c>
      <c r="BB17" t="n">
        <v>4580</v>
      </c>
      <c r="BC17" t="n">
        <v>98943</v>
      </c>
      <c r="BD17" t="n">
        <v>2967</v>
      </c>
      <c r="BE17" t="n">
        <v>1687</v>
      </c>
      <c r="BF17" t="n">
        <v>50053</v>
      </c>
      <c r="BG17" t="n">
        <v>1613</v>
      </c>
      <c r="BH17" t="n">
        <v>3031</v>
      </c>
      <c r="BI17" t="n">
        <v>48890</v>
      </c>
      <c r="BJ17" t="n">
        <v>1495</v>
      </c>
      <c r="BK17" t="n">
        <v>3043</v>
      </c>
      <c r="BL17" t="n">
        <v>45497</v>
      </c>
      <c r="BM17" t="n">
        <v>0</v>
      </c>
      <c r="BN17" t="n">
        <v>0</v>
      </c>
      <c r="BO17" t="n">
        <v>0</v>
      </c>
      <c r="BP17" t="n">
        <v>118</v>
      </c>
      <c r="BQ17" t="n">
        <v>2875</v>
      </c>
      <c r="BR17" t="n">
        <v>3393</v>
      </c>
      <c r="BS17" t="n">
        <v>5192</v>
      </c>
      <c r="BT17" t="n">
        <v>109292</v>
      </c>
      <c r="BU17" t="n">
        <v>2888</v>
      </c>
      <c r="BV17" t="n">
        <v>1765</v>
      </c>
      <c r="BW17" t="n">
        <v>50973</v>
      </c>
      <c r="BX17" t="n">
        <v>2304</v>
      </c>
      <c r="BY17" t="n">
        <v>2531</v>
      </c>
      <c r="BZ17" t="n">
        <v>58319</v>
      </c>
      <c r="CA17" t="n">
        <v>2104</v>
      </c>
      <c r="CB17" t="n">
        <v>2536</v>
      </c>
      <c r="CC17" t="n">
        <v>53361</v>
      </c>
      <c r="CD17" t="n">
        <v>0</v>
      </c>
      <c r="CE17" t="n">
        <v>0</v>
      </c>
      <c r="CF17" t="n">
        <v>0</v>
      </c>
      <c r="CG17" t="n">
        <v>200</v>
      </c>
      <c r="CH17" t="n">
        <v>2479</v>
      </c>
      <c r="CI17" t="n">
        <v>4958</v>
      </c>
      <c r="CJ17" t="n">
        <v>5365</v>
      </c>
      <c r="CK17" t="n">
        <v>111731</v>
      </c>
      <c r="CL17" t="n">
        <v>2342</v>
      </c>
      <c r="CM17" t="n">
        <v>1521</v>
      </c>
      <c r="CN17" t="n">
        <v>35622</v>
      </c>
      <c r="CO17" t="n">
        <v>3023</v>
      </c>
      <c r="CP17" t="n">
        <v>2518</v>
      </c>
      <c r="CQ17" t="n">
        <v>76109</v>
      </c>
      <c r="CR17" t="n">
        <v>2490</v>
      </c>
      <c r="CS17" t="n">
        <v>2639</v>
      </c>
      <c r="CT17" t="n">
        <v>65721</v>
      </c>
      <c r="CU17" t="n">
        <v>0</v>
      </c>
      <c r="CV17" t="n">
        <v>0</v>
      </c>
      <c r="CW17" t="n">
        <v>0</v>
      </c>
      <c r="CX17" t="n">
        <v>533</v>
      </c>
      <c r="CY17" t="n">
        <v>1949</v>
      </c>
      <c r="CZ17" t="n">
        <v>10388</v>
      </c>
      <c r="DA17" t="n">
        <v>5410</v>
      </c>
      <c r="DB17" t="n">
        <v>90831</v>
      </c>
      <c r="DC17" t="n">
        <v>2361</v>
      </c>
      <c r="DD17" t="n">
        <v>1054</v>
      </c>
      <c r="DE17" t="n">
        <v>24885</v>
      </c>
      <c r="DF17" t="n">
        <v>3049</v>
      </c>
      <c r="DG17" t="n">
        <v>2163</v>
      </c>
      <c r="DH17" t="n">
        <v>65946</v>
      </c>
      <c r="DI17" t="n">
        <v>2870</v>
      </c>
      <c r="DJ17" t="n">
        <v>2183</v>
      </c>
      <c r="DK17" t="n">
        <v>62642</v>
      </c>
      <c r="DL17" t="n">
        <v>0</v>
      </c>
      <c r="DM17" t="n">
        <v>0</v>
      </c>
      <c r="DN17" t="n">
        <v>0</v>
      </c>
      <c r="DO17" t="n">
        <v>179</v>
      </c>
      <c r="DP17" t="n">
        <v>1846</v>
      </c>
      <c r="DQ17" t="n">
        <v>3304</v>
      </c>
      <c r="DR17" t="n">
        <v>6598</v>
      </c>
      <c r="DS17" t="n">
        <v>107630</v>
      </c>
      <c r="DT17" t="n">
        <v>3394</v>
      </c>
      <c r="DU17" t="n">
        <v>1192</v>
      </c>
      <c r="DV17" t="n">
        <v>40456</v>
      </c>
      <c r="DW17" t="n">
        <v>3204</v>
      </c>
      <c r="DX17" t="n">
        <v>2097</v>
      </c>
      <c r="DY17" t="n">
        <v>67174</v>
      </c>
      <c r="DZ17" t="n">
        <v>3070</v>
      </c>
      <c r="EA17" t="n">
        <v>2116</v>
      </c>
      <c r="EB17" t="n">
        <v>64976</v>
      </c>
      <c r="EC17" t="n">
        <v>0</v>
      </c>
      <c r="ED17" t="n">
        <v>0</v>
      </c>
      <c r="EE17" t="n">
        <v>0</v>
      </c>
      <c r="EF17" t="n">
        <v>134</v>
      </c>
      <c r="EG17" t="n">
        <v>1640</v>
      </c>
      <c r="EH17" t="n">
        <v>2198</v>
      </c>
      <c r="EI17" t="n">
        <v>6044</v>
      </c>
      <c r="EJ17" t="n">
        <v>122635</v>
      </c>
      <c r="EK17" t="n">
        <v>3151</v>
      </c>
      <c r="EL17" t="n">
        <v>1491</v>
      </c>
      <c r="EM17" t="n">
        <v>46981</v>
      </c>
      <c r="EN17" t="n">
        <v>2893</v>
      </c>
      <c r="EO17" t="n">
        <v>2615</v>
      </c>
      <c r="EP17" t="n">
        <v>75654</v>
      </c>
      <c r="EQ17" t="n">
        <v>2772</v>
      </c>
      <c r="ER17" t="n">
        <v>2655</v>
      </c>
      <c r="ES17" t="n">
        <v>73608</v>
      </c>
      <c r="ET17" t="n">
        <v>0</v>
      </c>
      <c r="EU17" t="n">
        <v>0</v>
      </c>
      <c r="EV17" t="n">
        <v>0</v>
      </c>
      <c r="EW17" t="n">
        <v>121</v>
      </c>
      <c r="EX17" t="n">
        <v>1691</v>
      </c>
      <c r="EY17" t="n">
        <v>2046</v>
      </c>
      <c r="EZ17" t="n">
        <v>5680</v>
      </c>
      <c r="FA17" t="n">
        <v>119269</v>
      </c>
      <c r="FB17" t="n">
        <v>3158</v>
      </c>
      <c r="FC17" t="n">
        <v>1406</v>
      </c>
      <c r="FD17" t="n">
        <v>44401</v>
      </c>
      <c r="FE17" t="n">
        <v>2522</v>
      </c>
      <c r="FF17" t="n">
        <v>2969</v>
      </c>
      <c r="FG17" t="n">
        <v>74868</v>
      </c>
      <c r="FH17" t="n">
        <v>2329</v>
      </c>
      <c r="FI17" t="n">
        <v>3074</v>
      </c>
      <c r="FJ17" t="n">
        <v>71589</v>
      </c>
      <c r="FK17" t="n">
        <v>0</v>
      </c>
      <c r="FL17" t="n">
        <v>0</v>
      </c>
      <c r="FM17" t="n">
        <v>0</v>
      </c>
      <c r="FN17" t="n">
        <v>193</v>
      </c>
      <c r="FO17" t="n">
        <v>1699</v>
      </c>
      <c r="FP17" t="n">
        <v>3279</v>
      </c>
      <c r="FQ17" t="n">
        <v>5147</v>
      </c>
      <c r="FR17" t="n">
        <v>94129</v>
      </c>
      <c r="FS17" t="n">
        <v>2893</v>
      </c>
      <c r="FT17" t="n">
        <v>1251</v>
      </c>
      <c r="FU17" t="n">
        <v>36191</v>
      </c>
      <c r="FV17" t="n">
        <v>2254</v>
      </c>
      <c r="FW17" t="n">
        <v>2570</v>
      </c>
      <c r="FX17" t="n">
        <v>57938</v>
      </c>
      <c r="FY17" t="n">
        <v>2135</v>
      </c>
      <c r="FZ17" t="n">
        <v>2629</v>
      </c>
      <c r="GA17" t="n">
        <v>56127</v>
      </c>
      <c r="GB17" t="n">
        <v>0</v>
      </c>
      <c r="GC17" t="n">
        <v>0</v>
      </c>
      <c r="GD17" t="n">
        <v>0</v>
      </c>
      <c r="GE17" t="n">
        <v>119</v>
      </c>
      <c r="GF17" t="n">
        <v>1522</v>
      </c>
      <c r="GG17" t="n">
        <v>1811</v>
      </c>
      <c r="GH17" t="n">
        <v>5432</v>
      </c>
      <c r="GI17" t="n">
        <v>97101</v>
      </c>
      <c r="GJ17" t="n">
        <v>3507</v>
      </c>
      <c r="GK17" t="n">
        <v>1288</v>
      </c>
      <c r="GL17" t="n">
        <v>45170</v>
      </c>
      <c r="GM17" t="n">
        <v>1925</v>
      </c>
      <c r="GN17" t="n">
        <v>2698</v>
      </c>
      <c r="GO17" t="n">
        <v>51931</v>
      </c>
      <c r="GP17" t="n">
        <v>1820</v>
      </c>
      <c r="GQ17" t="n">
        <v>2759</v>
      </c>
      <c r="GR17" t="n">
        <v>50221</v>
      </c>
      <c r="GS17" t="n">
        <v>0</v>
      </c>
      <c r="GT17" t="n">
        <v>0</v>
      </c>
      <c r="GU17" t="n">
        <v>0</v>
      </c>
      <c r="GV17" t="n">
        <v>105</v>
      </c>
      <c r="GW17" t="n">
        <v>1629</v>
      </c>
      <c r="GX17" t="n">
        <v>1710</v>
      </c>
      <c r="GY17" t="n">
        <v>5572</v>
      </c>
      <c r="GZ17" t="n">
        <v>84819</v>
      </c>
      <c r="HA17" t="n">
        <v>3285</v>
      </c>
      <c r="HB17" t="n">
        <v>1242</v>
      </c>
      <c r="HC17" t="n">
        <v>40797</v>
      </c>
      <c r="HD17" t="n">
        <v>2287</v>
      </c>
      <c r="HE17" t="n">
        <v>1925</v>
      </c>
      <c r="HF17" t="n">
        <v>44022</v>
      </c>
      <c r="HG17" t="n">
        <v>2133</v>
      </c>
      <c r="HH17" t="n">
        <v>1955</v>
      </c>
      <c r="HI17" t="n">
        <v>41684</v>
      </c>
      <c r="HJ17" t="n">
        <v>0</v>
      </c>
      <c r="HK17" t="n">
        <v>0</v>
      </c>
      <c r="HL17" t="n">
        <v>0</v>
      </c>
      <c r="HM17" t="n">
        <v>155</v>
      </c>
      <c r="HN17" t="n">
        <v>1511</v>
      </c>
      <c r="HO17" t="n">
        <v>2338</v>
      </c>
      <c r="HP17" t="n">
        <v>5384</v>
      </c>
      <c r="HQ17" t="n">
        <v>89739</v>
      </c>
      <c r="HR17" t="n">
        <v>2965</v>
      </c>
      <c r="HS17" t="n">
        <v>1180</v>
      </c>
      <c r="HT17" t="n">
        <v>34984</v>
      </c>
      <c r="HU17" t="n">
        <v>2419</v>
      </c>
      <c r="HV17" t="n">
        <v>2264</v>
      </c>
      <c r="HW17" t="n">
        <v>54755</v>
      </c>
      <c r="HX17" t="n">
        <v>2210</v>
      </c>
      <c r="HY17" t="n">
        <v>2342</v>
      </c>
      <c r="HZ17" t="n">
        <v>51762</v>
      </c>
      <c r="IA17" t="n">
        <v>0</v>
      </c>
      <c r="IB17" t="n">
        <v>0</v>
      </c>
      <c r="IC17" t="n">
        <v>0</v>
      </c>
      <c r="ID17" t="n">
        <v>209</v>
      </c>
      <c r="IE17" t="n">
        <v>1435</v>
      </c>
      <c r="IF17" t="n">
        <v>2993</v>
      </c>
      <c r="IG17" t="n">
        <v>5964</v>
      </c>
      <c r="IH17" t="n">
        <v>107335</v>
      </c>
      <c r="II17" t="n">
        <v>3044</v>
      </c>
      <c r="IJ17" t="n">
        <v>1244</v>
      </c>
      <c r="IK17" t="n">
        <v>37872</v>
      </c>
      <c r="IL17" t="n">
        <v>2920</v>
      </c>
      <c r="IM17" t="n">
        <v>2379</v>
      </c>
      <c r="IN17" t="n">
        <v>69463</v>
      </c>
      <c r="IO17" t="n">
        <v>2596</v>
      </c>
      <c r="IP17" t="n">
        <v>2474</v>
      </c>
      <c r="IQ17" t="n">
        <v>64224</v>
      </c>
      <c r="IR17" t="n">
        <v>0</v>
      </c>
      <c r="IS17" t="n">
        <v>0</v>
      </c>
      <c r="IT17" t="n">
        <v>0</v>
      </c>
      <c r="IU17" t="n">
        <v>323</v>
      </c>
      <c r="IV17" t="n">
        <v>1621</v>
      </c>
      <c r="IW17" t="n">
        <v>5239</v>
      </c>
      <c r="IX17" t="n">
        <v>5323</v>
      </c>
      <c r="IY17" t="n">
        <v>91213</v>
      </c>
      <c r="IZ17" t="n">
        <v>3164</v>
      </c>
      <c r="JA17" t="n">
        <v>1285</v>
      </c>
      <c r="JB17" t="n">
        <v>40652</v>
      </c>
      <c r="JC17" t="n">
        <v>2159</v>
      </c>
      <c r="JD17" t="n">
        <v>2342</v>
      </c>
      <c r="JE17" t="n">
        <v>50561</v>
      </c>
      <c r="JF17" t="n">
        <v>2001</v>
      </c>
      <c r="JG17" t="n">
        <v>2401</v>
      </c>
      <c r="JH17" t="n">
        <v>48042</v>
      </c>
      <c r="JI17" t="n">
        <v>0</v>
      </c>
      <c r="JJ17" t="n">
        <v>0</v>
      </c>
      <c r="JK17" t="n">
        <v>0</v>
      </c>
      <c r="JL17" t="n">
        <v>158</v>
      </c>
      <c r="JM17" t="n">
        <v>1598</v>
      </c>
      <c r="JN17" t="n">
        <v>2519</v>
      </c>
      <c r="JO17" t="n">
        <v>6006</v>
      </c>
      <c r="JP17" t="n">
        <v>112877</v>
      </c>
      <c r="JQ17" t="n">
        <v>3441</v>
      </c>
      <c r="JR17" t="n">
        <v>1353</v>
      </c>
      <c r="JS17" t="n">
        <v>46563</v>
      </c>
      <c r="JT17" t="n">
        <v>2564</v>
      </c>
      <c r="JU17" t="n">
        <v>2586</v>
      </c>
      <c r="JV17" t="n">
        <v>66314</v>
      </c>
      <c r="JW17" t="n">
        <v>2363</v>
      </c>
      <c r="JX17" t="n">
        <v>2643</v>
      </c>
      <c r="JY17" t="n">
        <v>62453</v>
      </c>
      <c r="JZ17" t="n">
        <v>0</v>
      </c>
      <c r="KA17" t="n">
        <v>0</v>
      </c>
      <c r="KB17" t="n">
        <v>0</v>
      </c>
      <c r="KC17" t="n">
        <v>201</v>
      </c>
      <c r="KD17" t="n">
        <v>1917</v>
      </c>
      <c r="KE17" t="n">
        <v>3861</v>
      </c>
      <c r="KF17" t="n">
        <v>4943</v>
      </c>
      <c r="KG17" t="n">
        <v>85648</v>
      </c>
      <c r="KH17" t="n">
        <v>2674</v>
      </c>
      <c r="KI17" t="n">
        <v>1296</v>
      </c>
      <c r="KJ17" t="n">
        <v>34644</v>
      </c>
      <c r="KK17" t="n">
        <v>2269</v>
      </c>
      <c r="KL17" t="n">
        <v>2248</v>
      </c>
      <c r="KM17" t="n">
        <v>51004</v>
      </c>
      <c r="KN17" t="n">
        <v>2133</v>
      </c>
      <c r="KO17" t="n">
        <v>2279</v>
      </c>
      <c r="KP17" t="n">
        <v>48599</v>
      </c>
      <c r="KQ17" t="n">
        <v>0</v>
      </c>
      <c r="KR17" t="n">
        <v>0</v>
      </c>
      <c r="KS17" t="n">
        <v>0</v>
      </c>
      <c r="KT17" t="n">
        <v>136</v>
      </c>
      <c r="KU17" t="n">
        <v>1763</v>
      </c>
      <c r="KV17" t="n">
        <v>2405</v>
      </c>
      <c r="KW17" t="n">
        <v>5163</v>
      </c>
      <c r="KX17" t="n">
        <v>93131</v>
      </c>
      <c r="KY17" t="n">
        <v>2438</v>
      </c>
      <c r="KZ17" t="n">
        <v>1355</v>
      </c>
      <c r="LA17" t="n">
        <v>33038</v>
      </c>
      <c r="LB17" t="n">
        <v>2725</v>
      </c>
      <c r="LC17" t="n">
        <v>2205</v>
      </c>
      <c r="LD17" t="n">
        <v>60093</v>
      </c>
      <c r="LE17" t="n">
        <v>2562</v>
      </c>
      <c r="LF17" t="n">
        <v>2217</v>
      </c>
      <c r="LG17" t="n">
        <v>56790</v>
      </c>
      <c r="LH17" t="n">
        <v>0</v>
      </c>
      <c r="LI17" t="n">
        <v>0</v>
      </c>
      <c r="LJ17" t="n">
        <v>0</v>
      </c>
      <c r="LK17" t="n">
        <v>163</v>
      </c>
      <c r="LL17" t="n">
        <v>2028</v>
      </c>
      <c r="LM17" t="n">
        <v>3303</v>
      </c>
      <c r="LN17" t="n">
        <v>4930</v>
      </c>
      <c r="LO17" t="n">
        <v>99186</v>
      </c>
      <c r="LP17" t="n">
        <v>2110</v>
      </c>
      <c r="LQ17" t="n">
        <v>1401</v>
      </c>
      <c r="LR17" t="n">
        <v>29561</v>
      </c>
      <c r="LS17" t="n">
        <v>2820</v>
      </c>
      <c r="LT17" t="n">
        <v>2469</v>
      </c>
      <c r="LU17" t="n">
        <v>69625</v>
      </c>
      <c r="LV17" t="n">
        <v>2674</v>
      </c>
      <c r="LW17" t="n">
        <v>2510</v>
      </c>
      <c r="LX17" t="n">
        <v>67117</v>
      </c>
      <c r="LY17" t="inlineStr">
        <is>
          <t>-</t>
        </is>
      </c>
      <c r="LZ17" t="inlineStr">
        <is>
          <t>-</t>
        </is>
      </c>
      <c r="MA17" t="inlineStr">
        <is>
          <t>-</t>
        </is>
      </c>
      <c r="MB17" t="n">
        <v>146</v>
      </c>
      <c r="MC17" t="n">
        <v>1718</v>
      </c>
      <c r="MD17" t="n">
        <v>2508</v>
      </c>
      <c r="ME17" t="inlineStr">
        <is>
          <t>-</t>
        </is>
      </c>
      <c r="MF17" t="inlineStr">
        <is>
          <t>-</t>
        </is>
      </c>
      <c r="MG17" t="inlineStr">
        <is>
          <t>-</t>
        </is>
      </c>
      <c r="MH17" t="inlineStr">
        <is>
          <t>-</t>
        </is>
      </c>
      <c r="MI17" t="inlineStr">
        <is>
          <t>-</t>
        </is>
      </c>
      <c r="MJ17" t="inlineStr">
        <is>
          <t>-</t>
        </is>
      </c>
      <c r="MK17" t="inlineStr">
        <is>
          <t>-</t>
        </is>
      </c>
      <c r="ML17" t="inlineStr">
        <is>
          <t>-</t>
        </is>
      </c>
      <c r="MM17" t="n">
        <v>2520</v>
      </c>
      <c r="MN17" t="n">
        <v>2316</v>
      </c>
      <c r="MO17" t="n">
        <v>58363</v>
      </c>
      <c r="MP17" t="inlineStr">
        <is>
          <t>-</t>
        </is>
      </c>
      <c r="MQ17" t="inlineStr">
        <is>
          <t>-</t>
        </is>
      </c>
      <c r="MR17" t="inlineStr">
        <is>
          <t>-</t>
        </is>
      </c>
      <c r="MS17" t="inlineStr">
        <is>
          <t>-</t>
        </is>
      </c>
      <c r="MT17" t="inlineStr">
        <is>
          <t>-</t>
        </is>
      </c>
      <c r="MU17" t="inlineStr">
        <is>
          <t>-</t>
        </is>
      </c>
      <c r="MV17" t="inlineStr">
        <is>
          <t>-</t>
        </is>
      </c>
      <c r="MW17" t="inlineStr">
        <is>
          <t>-</t>
        </is>
      </c>
      <c r="MX17" t="inlineStr">
        <is>
          <t>-</t>
        </is>
      </c>
      <c r="MY17" t="inlineStr">
        <is>
          <t>-</t>
        </is>
      </c>
      <c r="MZ17" t="inlineStr">
        <is>
          <t>-</t>
        </is>
      </c>
      <c r="NA17" t="inlineStr">
        <is>
          <t>-</t>
        </is>
      </c>
      <c r="NB17" t="inlineStr">
        <is>
          <t>-</t>
        </is>
      </c>
      <c r="NC17" t="inlineStr">
        <is>
          <t>-</t>
        </is>
      </c>
      <c r="ND17" t="n">
        <v>2687</v>
      </c>
      <c r="NE17" t="n">
        <v>2294</v>
      </c>
      <c r="NF17" t="n">
        <v>61648</v>
      </c>
      <c r="NG17" t="inlineStr">
        <is>
          <t>-</t>
        </is>
      </c>
      <c r="NH17" t="inlineStr">
        <is>
          <t>-</t>
        </is>
      </c>
      <c r="NI17" t="inlineStr">
        <is>
          <t>-</t>
        </is>
      </c>
      <c r="NJ17" t="inlineStr">
        <is>
          <t>-</t>
        </is>
      </c>
      <c r="NK17" t="inlineStr">
        <is>
          <t>-</t>
        </is>
      </c>
      <c r="NL17" t="inlineStr">
        <is>
          <t>-</t>
        </is>
      </c>
    </row>
    <row r="18">
      <c r="A18" t="inlineStr">
        <is>
          <t>전북특별자치도</t>
        </is>
      </c>
      <c r="B18" t="inlineStr">
        <is>
          <t>소계</t>
        </is>
      </c>
      <c r="C18" t="n">
        <v>5771</v>
      </c>
      <c r="D18" t="n">
        <v>121918</v>
      </c>
      <c r="E18" t="n">
        <v>2597</v>
      </c>
      <c r="F18" t="n">
        <v>1561</v>
      </c>
      <c r="G18" t="n">
        <v>40539</v>
      </c>
      <c r="H18" t="n">
        <v>3174</v>
      </c>
      <c r="I18" t="n">
        <v>2564</v>
      </c>
      <c r="J18" t="n">
        <v>81379</v>
      </c>
      <c r="K18" t="n">
        <v>1530</v>
      </c>
      <c r="L18" t="n">
        <v>2710</v>
      </c>
      <c r="M18" t="n">
        <v>41463</v>
      </c>
      <c r="N18" t="n">
        <v>0</v>
      </c>
      <c r="O18" t="n">
        <v>0</v>
      </c>
      <c r="P18" t="n">
        <v>0</v>
      </c>
      <c r="Q18" t="n">
        <v>1644</v>
      </c>
      <c r="R18" t="n">
        <v>2428</v>
      </c>
      <c r="S18" t="n">
        <v>39916</v>
      </c>
      <c r="T18" t="n">
        <v>4259</v>
      </c>
      <c r="U18" t="n">
        <v>93605</v>
      </c>
      <c r="V18" t="n">
        <v>2448</v>
      </c>
      <c r="W18" t="n">
        <v>1663</v>
      </c>
      <c r="X18" t="n">
        <v>40710</v>
      </c>
      <c r="Y18" t="n">
        <v>1811</v>
      </c>
      <c r="Z18" t="n">
        <v>2921</v>
      </c>
      <c r="AA18" t="n">
        <v>52895</v>
      </c>
      <c r="AB18" t="n">
        <v>959</v>
      </c>
      <c r="AC18" t="n">
        <v>3059</v>
      </c>
      <c r="AD18" t="n">
        <v>29337</v>
      </c>
      <c r="AE18" t="n">
        <v>0</v>
      </c>
      <c r="AF18" t="n">
        <v>0</v>
      </c>
      <c r="AG18" t="n">
        <v>0</v>
      </c>
      <c r="AH18" t="n">
        <v>852</v>
      </c>
      <c r="AI18" t="n">
        <v>2765</v>
      </c>
      <c r="AJ18" t="n">
        <v>23558</v>
      </c>
      <c r="AK18" t="n">
        <v>4915</v>
      </c>
      <c r="AL18" t="n">
        <v>99459</v>
      </c>
      <c r="AM18" t="n">
        <v>3045</v>
      </c>
      <c r="AN18" t="n">
        <v>1633</v>
      </c>
      <c r="AO18" t="n">
        <v>49725</v>
      </c>
      <c r="AP18" t="n">
        <v>1870</v>
      </c>
      <c r="AQ18" t="n">
        <v>2660</v>
      </c>
      <c r="AR18" t="n">
        <v>49734</v>
      </c>
      <c r="AS18" t="n">
        <v>818</v>
      </c>
      <c r="AT18" t="n">
        <v>2686</v>
      </c>
      <c r="AU18" t="n">
        <v>21972</v>
      </c>
      <c r="AV18" t="n">
        <v>0</v>
      </c>
      <c r="AW18" t="n">
        <v>0</v>
      </c>
      <c r="AX18" t="n">
        <v>0</v>
      </c>
      <c r="AY18" t="n">
        <v>1052</v>
      </c>
      <c r="AZ18" t="n">
        <v>2639</v>
      </c>
      <c r="BA18" t="n">
        <v>27762</v>
      </c>
      <c r="BB18" t="n">
        <v>5056</v>
      </c>
      <c r="BC18" t="n">
        <v>111048</v>
      </c>
      <c r="BD18" t="n">
        <v>2933</v>
      </c>
      <c r="BE18" t="n">
        <v>1666</v>
      </c>
      <c r="BF18" t="n">
        <v>48864</v>
      </c>
      <c r="BG18" t="n">
        <v>2123</v>
      </c>
      <c r="BH18" t="n">
        <v>2929</v>
      </c>
      <c r="BI18" t="n">
        <v>62184</v>
      </c>
      <c r="BJ18" t="n">
        <v>1046</v>
      </c>
      <c r="BK18" t="n">
        <v>3100</v>
      </c>
      <c r="BL18" t="n">
        <v>32426</v>
      </c>
      <c r="BM18" t="n">
        <v>0</v>
      </c>
      <c r="BN18" t="n">
        <v>0</v>
      </c>
      <c r="BO18" t="n">
        <v>0</v>
      </c>
      <c r="BP18" t="n">
        <v>1077</v>
      </c>
      <c r="BQ18" t="n">
        <v>2763</v>
      </c>
      <c r="BR18" t="n">
        <v>29758</v>
      </c>
      <c r="BS18" t="n">
        <v>5313</v>
      </c>
      <c r="BT18" t="n">
        <v>96698</v>
      </c>
      <c r="BU18" t="n">
        <v>3390</v>
      </c>
      <c r="BV18" t="n">
        <v>1558</v>
      </c>
      <c r="BW18" t="n">
        <v>52816</v>
      </c>
      <c r="BX18" t="n">
        <v>1923</v>
      </c>
      <c r="BY18" t="n">
        <v>2282</v>
      </c>
      <c r="BZ18" t="n">
        <v>43882</v>
      </c>
      <c r="CA18" t="n">
        <v>928</v>
      </c>
      <c r="CB18" t="n">
        <v>2503</v>
      </c>
      <c r="CC18" t="n">
        <v>23226</v>
      </c>
      <c r="CD18" t="n">
        <v>0</v>
      </c>
      <c r="CE18" t="n">
        <v>0</v>
      </c>
      <c r="CF18" t="n">
        <v>0</v>
      </c>
      <c r="CG18" t="n">
        <v>995</v>
      </c>
      <c r="CH18" t="n">
        <v>2076</v>
      </c>
      <c r="CI18" t="n">
        <v>20656</v>
      </c>
      <c r="CJ18" t="n">
        <v>4899</v>
      </c>
      <c r="CK18" t="n">
        <v>82859</v>
      </c>
      <c r="CL18" t="n">
        <v>2958</v>
      </c>
      <c r="CM18" t="n">
        <v>1426</v>
      </c>
      <c r="CN18" t="n">
        <v>42181</v>
      </c>
      <c r="CO18" t="n">
        <v>1941</v>
      </c>
      <c r="CP18" t="n">
        <v>2096</v>
      </c>
      <c r="CQ18" t="n">
        <v>40678</v>
      </c>
      <c r="CR18" t="n">
        <v>929</v>
      </c>
      <c r="CS18" t="n">
        <v>2598</v>
      </c>
      <c r="CT18" t="n">
        <v>24132</v>
      </c>
      <c r="CU18" t="n">
        <v>0</v>
      </c>
      <c r="CV18" t="n">
        <v>0</v>
      </c>
      <c r="CW18" t="n">
        <v>0</v>
      </c>
      <c r="CX18" t="n">
        <v>1012</v>
      </c>
      <c r="CY18" t="n">
        <v>1635</v>
      </c>
      <c r="CZ18" t="n">
        <v>16546</v>
      </c>
      <c r="DA18" t="n">
        <v>4751</v>
      </c>
      <c r="DB18" t="n">
        <v>74703</v>
      </c>
      <c r="DC18" t="n">
        <v>2797</v>
      </c>
      <c r="DD18" t="n">
        <v>1225</v>
      </c>
      <c r="DE18" t="n">
        <v>34263</v>
      </c>
      <c r="DF18" t="n">
        <v>1954</v>
      </c>
      <c r="DG18" t="n">
        <v>2070</v>
      </c>
      <c r="DH18" t="n">
        <v>40440</v>
      </c>
      <c r="DI18" t="n">
        <v>1115</v>
      </c>
      <c r="DJ18" t="n">
        <v>2280</v>
      </c>
      <c r="DK18" t="n">
        <v>25422</v>
      </c>
      <c r="DL18" t="n">
        <v>0</v>
      </c>
      <c r="DM18" t="n">
        <v>0</v>
      </c>
      <c r="DN18" t="n">
        <v>0</v>
      </c>
      <c r="DO18" t="n">
        <v>839</v>
      </c>
      <c r="DP18" t="n">
        <v>1790</v>
      </c>
      <c r="DQ18" t="n">
        <v>15018</v>
      </c>
      <c r="DR18" t="n">
        <v>5712</v>
      </c>
      <c r="DS18" t="n">
        <v>101038</v>
      </c>
      <c r="DT18" t="n">
        <v>4097</v>
      </c>
      <c r="DU18" t="n">
        <v>1650</v>
      </c>
      <c r="DV18" t="n">
        <v>67601</v>
      </c>
      <c r="DW18" t="n">
        <v>1615</v>
      </c>
      <c r="DX18" t="n">
        <v>2070</v>
      </c>
      <c r="DY18" t="n">
        <v>33437</v>
      </c>
      <c r="DZ18" t="n">
        <v>962</v>
      </c>
      <c r="EA18" t="n">
        <v>2262</v>
      </c>
      <c r="EB18" t="n">
        <v>21761</v>
      </c>
      <c r="EC18" t="n">
        <v>0</v>
      </c>
      <c r="ED18" t="n">
        <v>0</v>
      </c>
      <c r="EE18" t="n">
        <v>0</v>
      </c>
      <c r="EF18" t="n">
        <v>653</v>
      </c>
      <c r="EG18" t="n">
        <v>1788</v>
      </c>
      <c r="EH18" t="n">
        <v>11676</v>
      </c>
      <c r="EI18" t="n">
        <v>5464</v>
      </c>
      <c r="EJ18" t="n">
        <v>101305</v>
      </c>
      <c r="EK18" t="n">
        <v>3402</v>
      </c>
      <c r="EL18" t="n">
        <v>1530</v>
      </c>
      <c r="EM18" t="n">
        <v>52051</v>
      </c>
      <c r="EN18" t="n">
        <v>2062</v>
      </c>
      <c r="EO18" t="n">
        <v>2389</v>
      </c>
      <c r="EP18" t="n">
        <v>49254</v>
      </c>
      <c r="EQ18" t="n">
        <v>1523</v>
      </c>
      <c r="ER18" t="n">
        <v>2652</v>
      </c>
      <c r="ES18" t="n">
        <v>40387</v>
      </c>
      <c r="ET18" t="n">
        <v>0</v>
      </c>
      <c r="EU18" t="n">
        <v>0</v>
      </c>
      <c r="EV18" t="n">
        <v>0</v>
      </c>
      <c r="EW18" t="n">
        <v>539</v>
      </c>
      <c r="EX18" t="n">
        <v>1645</v>
      </c>
      <c r="EY18" t="n">
        <v>8867</v>
      </c>
      <c r="EZ18" t="n">
        <v>4842</v>
      </c>
      <c r="FA18" t="n">
        <v>97099</v>
      </c>
      <c r="FB18" t="n">
        <v>3125</v>
      </c>
      <c r="FC18" t="n">
        <v>1850</v>
      </c>
      <c r="FD18" t="n">
        <v>57813</v>
      </c>
      <c r="FE18" t="n">
        <v>1717</v>
      </c>
      <c r="FF18" t="n">
        <v>2288</v>
      </c>
      <c r="FG18" t="n">
        <v>39286</v>
      </c>
      <c r="FH18" t="n">
        <v>1071</v>
      </c>
      <c r="FI18" t="n">
        <v>2817</v>
      </c>
      <c r="FJ18" t="n">
        <v>30171</v>
      </c>
      <c r="FK18" t="n">
        <v>0</v>
      </c>
      <c r="FL18" t="n">
        <v>0</v>
      </c>
      <c r="FM18" t="n">
        <v>0</v>
      </c>
      <c r="FN18" t="n">
        <v>646</v>
      </c>
      <c r="FO18" t="n">
        <v>1411</v>
      </c>
      <c r="FP18" t="n">
        <v>9115</v>
      </c>
      <c r="FQ18" t="n">
        <v>4858</v>
      </c>
      <c r="FR18" t="n">
        <v>88970</v>
      </c>
      <c r="FS18" t="n">
        <v>3333</v>
      </c>
      <c r="FT18" t="n">
        <v>1698</v>
      </c>
      <c r="FU18" t="n">
        <v>56594</v>
      </c>
      <c r="FV18" t="n">
        <v>1525</v>
      </c>
      <c r="FW18" t="n">
        <v>2123</v>
      </c>
      <c r="FX18" t="n">
        <v>32376</v>
      </c>
      <c r="FY18" t="n">
        <v>867</v>
      </c>
      <c r="FZ18" t="n">
        <v>2460</v>
      </c>
      <c r="GA18" t="n">
        <v>21328</v>
      </c>
      <c r="GB18" t="n">
        <v>0</v>
      </c>
      <c r="GC18" t="n">
        <v>0</v>
      </c>
      <c r="GD18" t="n">
        <v>0</v>
      </c>
      <c r="GE18" t="n">
        <v>658</v>
      </c>
      <c r="GF18" t="n">
        <v>1679</v>
      </c>
      <c r="GG18" t="n">
        <v>11048</v>
      </c>
      <c r="GH18" t="n">
        <v>5412</v>
      </c>
      <c r="GI18" t="n">
        <v>90940</v>
      </c>
      <c r="GJ18" t="n">
        <v>3805</v>
      </c>
      <c r="GK18" t="n">
        <v>1613</v>
      </c>
      <c r="GL18" t="n">
        <v>61375</v>
      </c>
      <c r="GM18" t="n">
        <v>1607</v>
      </c>
      <c r="GN18" t="n">
        <v>1840</v>
      </c>
      <c r="GO18" t="n">
        <v>29565</v>
      </c>
      <c r="GP18" t="n">
        <v>933</v>
      </c>
      <c r="GQ18" t="n">
        <v>2375</v>
      </c>
      <c r="GR18" t="n">
        <v>22158</v>
      </c>
      <c r="GS18" t="n">
        <v>0</v>
      </c>
      <c r="GT18" t="n">
        <v>0</v>
      </c>
      <c r="GU18" t="n">
        <v>0</v>
      </c>
      <c r="GV18" t="n">
        <v>674</v>
      </c>
      <c r="GW18" t="n">
        <v>1099</v>
      </c>
      <c r="GX18" t="n">
        <v>7407</v>
      </c>
      <c r="GY18" t="n">
        <v>5193</v>
      </c>
      <c r="GZ18" t="n">
        <v>95423</v>
      </c>
      <c r="HA18" t="n">
        <v>3537</v>
      </c>
      <c r="HB18" t="n">
        <v>1814</v>
      </c>
      <c r="HC18" t="n">
        <v>64159</v>
      </c>
      <c r="HD18" t="n">
        <v>1656</v>
      </c>
      <c r="HE18" t="n">
        <v>1888</v>
      </c>
      <c r="HF18" t="n">
        <v>31264</v>
      </c>
      <c r="HG18" t="n">
        <v>955</v>
      </c>
      <c r="HH18" t="n">
        <v>1992</v>
      </c>
      <c r="HI18" t="n">
        <v>19013</v>
      </c>
      <c r="HJ18" t="n">
        <v>0</v>
      </c>
      <c r="HK18" t="n">
        <v>0</v>
      </c>
      <c r="HL18" t="n">
        <v>0</v>
      </c>
      <c r="HM18" t="n">
        <v>701</v>
      </c>
      <c r="HN18" t="n">
        <v>1747</v>
      </c>
      <c r="HO18" t="n">
        <v>12251</v>
      </c>
      <c r="HP18" t="n">
        <v>5345</v>
      </c>
      <c r="HQ18" t="n">
        <v>97478</v>
      </c>
      <c r="HR18" t="n">
        <v>3459</v>
      </c>
      <c r="HS18" t="n">
        <v>1615</v>
      </c>
      <c r="HT18" t="n">
        <v>55861</v>
      </c>
      <c r="HU18" t="n">
        <v>1886</v>
      </c>
      <c r="HV18" t="n">
        <v>2206</v>
      </c>
      <c r="HW18" t="n">
        <v>41617</v>
      </c>
      <c r="HX18" t="n">
        <v>971</v>
      </c>
      <c r="HY18" t="n">
        <v>2581</v>
      </c>
      <c r="HZ18" t="n">
        <v>25052</v>
      </c>
      <c r="IA18" t="n">
        <v>0</v>
      </c>
      <c r="IB18" t="n">
        <v>0</v>
      </c>
      <c r="IC18" t="n">
        <v>0</v>
      </c>
      <c r="ID18" t="n">
        <v>916</v>
      </c>
      <c r="IE18" t="n">
        <v>1809</v>
      </c>
      <c r="IF18" t="n">
        <v>16565</v>
      </c>
      <c r="IG18" t="n">
        <v>6153</v>
      </c>
      <c r="IH18" t="n">
        <v>115640</v>
      </c>
      <c r="II18" t="n">
        <v>3572</v>
      </c>
      <c r="IJ18" t="n">
        <v>1645</v>
      </c>
      <c r="IK18" t="n">
        <v>58767</v>
      </c>
      <c r="IL18" t="n">
        <v>2580</v>
      </c>
      <c r="IM18" t="n">
        <v>2204</v>
      </c>
      <c r="IN18" t="n">
        <v>56873</v>
      </c>
      <c r="IO18" t="n">
        <v>1227</v>
      </c>
      <c r="IP18" t="n">
        <v>2838</v>
      </c>
      <c r="IQ18" t="n">
        <v>34811</v>
      </c>
      <c r="IR18" t="n">
        <v>0</v>
      </c>
      <c r="IS18" t="n">
        <v>0</v>
      </c>
      <c r="IT18" t="n">
        <v>0</v>
      </c>
      <c r="IU18" t="n">
        <v>1353</v>
      </c>
      <c r="IV18" t="n">
        <v>1630</v>
      </c>
      <c r="IW18" t="n">
        <v>22062</v>
      </c>
      <c r="IX18" t="n">
        <v>5764</v>
      </c>
      <c r="IY18" t="n">
        <v>103415</v>
      </c>
      <c r="IZ18" t="n">
        <v>3539</v>
      </c>
      <c r="JA18" t="n">
        <v>1690</v>
      </c>
      <c r="JB18" t="n">
        <v>59804</v>
      </c>
      <c r="JC18" t="n">
        <v>2226</v>
      </c>
      <c r="JD18" t="n">
        <v>1960</v>
      </c>
      <c r="JE18" t="n">
        <v>43611</v>
      </c>
      <c r="JF18" t="n">
        <v>1105</v>
      </c>
      <c r="JG18" t="n">
        <v>2278</v>
      </c>
      <c r="JH18" t="n">
        <v>25183</v>
      </c>
      <c r="JI18" t="n">
        <v>0</v>
      </c>
      <c r="JJ18" t="n">
        <v>0</v>
      </c>
      <c r="JK18" t="n">
        <v>0</v>
      </c>
      <c r="JL18" t="n">
        <v>1120</v>
      </c>
      <c r="JM18" t="n">
        <v>1645</v>
      </c>
      <c r="JN18" t="n">
        <v>18428</v>
      </c>
      <c r="JO18" t="n">
        <v>5872</v>
      </c>
      <c r="JP18" t="n">
        <v>103456</v>
      </c>
      <c r="JQ18" t="n">
        <v>3734</v>
      </c>
      <c r="JR18" t="n">
        <v>1705</v>
      </c>
      <c r="JS18" t="n">
        <v>63662</v>
      </c>
      <c r="JT18" t="n">
        <v>2138</v>
      </c>
      <c r="JU18" t="n">
        <v>1861</v>
      </c>
      <c r="JV18" t="n">
        <v>39794</v>
      </c>
      <c r="JW18" t="n">
        <v>733</v>
      </c>
      <c r="JX18" t="n">
        <v>2225</v>
      </c>
      <c r="JY18" t="n">
        <v>16306</v>
      </c>
      <c r="JZ18" t="n">
        <v>0</v>
      </c>
      <c r="KA18" t="n">
        <v>0</v>
      </c>
      <c r="KB18" t="n">
        <v>0</v>
      </c>
      <c r="KC18" t="n">
        <v>1405</v>
      </c>
      <c r="KD18" t="n">
        <v>1672</v>
      </c>
      <c r="KE18" t="n">
        <v>23488</v>
      </c>
      <c r="KF18" t="n">
        <v>5013</v>
      </c>
      <c r="KG18" t="n">
        <v>87596</v>
      </c>
      <c r="KH18" t="n">
        <v>3740</v>
      </c>
      <c r="KI18" t="n">
        <v>1714</v>
      </c>
      <c r="KJ18" t="n">
        <v>64104</v>
      </c>
      <c r="KK18" t="n">
        <v>1273</v>
      </c>
      <c r="KL18" t="n">
        <v>1845</v>
      </c>
      <c r="KM18" t="n">
        <v>23492</v>
      </c>
      <c r="KN18" t="n">
        <v>597</v>
      </c>
      <c r="KO18" t="n">
        <v>2038</v>
      </c>
      <c r="KP18" t="n">
        <v>12174</v>
      </c>
      <c r="KQ18" t="n">
        <v>0</v>
      </c>
      <c r="KR18" t="n">
        <v>0</v>
      </c>
      <c r="KS18" t="n">
        <v>0</v>
      </c>
      <c r="KT18" t="n">
        <v>676</v>
      </c>
      <c r="KU18" t="n">
        <v>1674</v>
      </c>
      <c r="KV18" t="n">
        <v>11318</v>
      </c>
      <c r="KW18" t="n">
        <v>5552</v>
      </c>
      <c r="KX18" t="n">
        <v>91885</v>
      </c>
      <c r="KY18" t="n">
        <v>3232</v>
      </c>
      <c r="KZ18" t="n">
        <v>1572</v>
      </c>
      <c r="LA18" t="n">
        <v>50787</v>
      </c>
      <c r="LB18" t="n">
        <v>2321</v>
      </c>
      <c r="LC18" t="n">
        <v>1771</v>
      </c>
      <c r="LD18" t="n">
        <v>41098</v>
      </c>
      <c r="LE18" t="n">
        <v>720</v>
      </c>
      <c r="LF18" t="n">
        <v>1792</v>
      </c>
      <c r="LG18" t="n">
        <v>12902</v>
      </c>
      <c r="LH18" t="n">
        <v>0</v>
      </c>
      <c r="LI18" t="n">
        <v>0</v>
      </c>
      <c r="LJ18" t="n">
        <v>0</v>
      </c>
      <c r="LK18" t="n">
        <v>1601</v>
      </c>
      <c r="LL18" t="n">
        <v>1761</v>
      </c>
      <c r="LM18" t="n">
        <v>28196</v>
      </c>
      <c r="LN18" t="n">
        <v>5491</v>
      </c>
      <c r="LO18" t="n">
        <v>95058</v>
      </c>
      <c r="LP18" t="n">
        <v>3292</v>
      </c>
      <c r="LQ18" t="n">
        <v>1622</v>
      </c>
      <c r="LR18" t="n">
        <v>53385</v>
      </c>
      <c r="LS18" t="n">
        <v>2199</v>
      </c>
      <c r="LT18" t="n">
        <v>1895</v>
      </c>
      <c r="LU18" t="n">
        <v>41673</v>
      </c>
      <c r="LV18" t="n">
        <v>716</v>
      </c>
      <c r="LW18" t="n">
        <v>2454</v>
      </c>
      <c r="LX18" t="n">
        <v>17576</v>
      </c>
      <c r="LY18" t="inlineStr">
        <is>
          <t>-</t>
        </is>
      </c>
      <c r="LZ18" t="inlineStr">
        <is>
          <t>-</t>
        </is>
      </c>
      <c r="MA18" t="inlineStr">
        <is>
          <t>-</t>
        </is>
      </c>
      <c r="MB18" t="n">
        <v>1483</v>
      </c>
      <c r="MC18" t="n">
        <v>1625</v>
      </c>
      <c r="MD18" t="n">
        <v>24097</v>
      </c>
      <c r="ME18" t="inlineStr">
        <is>
          <t>-</t>
        </is>
      </c>
      <c r="MF18" t="inlineStr">
        <is>
          <t>-</t>
        </is>
      </c>
      <c r="MG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n">
        <v>769</v>
      </c>
      <c r="MN18" t="n">
        <v>2412</v>
      </c>
      <c r="MO18" t="n">
        <v>18557</v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T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-</t>
        </is>
      </c>
      <c r="NC18" t="inlineStr">
        <is>
          <t>-</t>
        </is>
      </c>
      <c r="ND18" t="n">
        <v>905</v>
      </c>
      <c r="NE18" t="n">
        <v>2076</v>
      </c>
      <c r="NF18" t="n">
        <v>18791</v>
      </c>
      <c r="NG18" t="inlineStr">
        <is>
          <t>-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</row>
    <row r="19">
      <c r="A19" t="inlineStr">
        <is>
          <t>경상북도</t>
        </is>
      </c>
      <c r="B19" t="inlineStr">
        <is>
          <t>소계</t>
        </is>
      </c>
      <c r="C19" t="n">
        <v>4833</v>
      </c>
      <c r="D19" t="n">
        <v>122968</v>
      </c>
      <c r="E19" t="n">
        <v>1435</v>
      </c>
      <c r="F19" t="n">
        <v>1764</v>
      </c>
      <c r="G19" t="n">
        <v>25313</v>
      </c>
      <c r="H19" t="n">
        <v>3398</v>
      </c>
      <c r="I19" t="n">
        <v>2874</v>
      </c>
      <c r="J19" t="n">
        <v>97655</v>
      </c>
      <c r="K19" t="n">
        <v>2936</v>
      </c>
      <c r="L19" t="n">
        <v>2897</v>
      </c>
      <c r="M19" t="n">
        <v>85056</v>
      </c>
      <c r="N19" t="n">
        <v>95</v>
      </c>
      <c r="O19" t="n">
        <v>2758</v>
      </c>
      <c r="P19" t="n">
        <v>2620</v>
      </c>
      <c r="Q19" t="n">
        <v>367</v>
      </c>
      <c r="R19" t="n">
        <v>2719</v>
      </c>
      <c r="S19" t="n">
        <v>9979</v>
      </c>
      <c r="T19" t="n">
        <v>4034</v>
      </c>
      <c r="U19" t="n">
        <v>97717</v>
      </c>
      <c r="V19" t="n">
        <v>1553</v>
      </c>
      <c r="W19" t="n">
        <v>1651</v>
      </c>
      <c r="X19" t="n">
        <v>25640</v>
      </c>
      <c r="Y19" t="n">
        <v>2481</v>
      </c>
      <c r="Z19" t="n">
        <v>2905</v>
      </c>
      <c r="AA19" t="n">
        <v>72077</v>
      </c>
      <c r="AB19" t="n">
        <v>2261</v>
      </c>
      <c r="AC19" t="n">
        <v>2935</v>
      </c>
      <c r="AD19" t="n">
        <v>66370</v>
      </c>
      <c r="AE19" t="n">
        <v>20</v>
      </c>
      <c r="AF19" t="n">
        <v>1055</v>
      </c>
      <c r="AG19" t="n">
        <v>211</v>
      </c>
      <c r="AH19" t="n">
        <v>200</v>
      </c>
      <c r="AI19" t="n">
        <v>2748</v>
      </c>
      <c r="AJ19" t="n">
        <v>5496</v>
      </c>
      <c r="AK19" t="n">
        <v>4265</v>
      </c>
      <c r="AL19" t="n">
        <v>99735</v>
      </c>
      <c r="AM19" t="n">
        <v>1823</v>
      </c>
      <c r="AN19" t="n">
        <v>1610</v>
      </c>
      <c r="AO19" t="n">
        <v>29350</v>
      </c>
      <c r="AP19" t="n">
        <v>2442</v>
      </c>
      <c r="AQ19" t="n">
        <v>2882</v>
      </c>
      <c r="AR19" t="n">
        <v>70385</v>
      </c>
      <c r="AS19" t="n">
        <v>2140</v>
      </c>
      <c r="AT19" t="n">
        <v>2900</v>
      </c>
      <c r="AU19" t="n">
        <v>62066</v>
      </c>
      <c r="AV19" t="n">
        <v>41</v>
      </c>
      <c r="AW19" t="n">
        <v>3123</v>
      </c>
      <c r="AX19" t="n">
        <v>1280</v>
      </c>
      <c r="AY19" t="n">
        <v>261</v>
      </c>
      <c r="AZ19" t="n">
        <v>2697</v>
      </c>
      <c r="BA19" t="n">
        <v>7039</v>
      </c>
      <c r="BB19" t="n">
        <v>4088</v>
      </c>
      <c r="BC19" t="n">
        <v>98440</v>
      </c>
      <c r="BD19" t="n">
        <v>1585</v>
      </c>
      <c r="BE19" t="n">
        <v>1674</v>
      </c>
      <c r="BF19" t="n">
        <v>26533</v>
      </c>
      <c r="BG19" t="n">
        <v>2503</v>
      </c>
      <c r="BH19" t="n">
        <v>2873</v>
      </c>
      <c r="BI19" t="n">
        <v>71907</v>
      </c>
      <c r="BJ19" t="n">
        <v>2174</v>
      </c>
      <c r="BK19" t="n">
        <v>2875</v>
      </c>
      <c r="BL19" t="n">
        <v>62501</v>
      </c>
      <c r="BM19" t="n">
        <v>62</v>
      </c>
      <c r="BN19" t="n">
        <v>2938</v>
      </c>
      <c r="BO19" t="n">
        <v>1821</v>
      </c>
      <c r="BP19" t="n">
        <v>267</v>
      </c>
      <c r="BQ19" t="n">
        <v>2841</v>
      </c>
      <c r="BR19" t="n">
        <v>7585</v>
      </c>
      <c r="BS19" t="n">
        <v>4646</v>
      </c>
      <c r="BT19" t="n">
        <v>107529</v>
      </c>
      <c r="BU19" t="n">
        <v>1866</v>
      </c>
      <c r="BV19" t="n">
        <v>1520</v>
      </c>
      <c r="BW19" t="n">
        <v>28363</v>
      </c>
      <c r="BX19" t="n">
        <v>2780</v>
      </c>
      <c r="BY19" t="n">
        <v>2848</v>
      </c>
      <c r="BZ19" t="n">
        <v>79166</v>
      </c>
      <c r="CA19" t="n">
        <v>2523</v>
      </c>
      <c r="CB19" t="n">
        <v>2895</v>
      </c>
      <c r="CC19" t="n">
        <v>73033</v>
      </c>
      <c r="CD19" t="n">
        <v>39</v>
      </c>
      <c r="CE19" t="n">
        <v>3105</v>
      </c>
      <c r="CF19" t="n">
        <v>1211</v>
      </c>
      <c r="CG19" t="n">
        <v>218</v>
      </c>
      <c r="CH19" t="n">
        <v>2258</v>
      </c>
      <c r="CI19" t="n">
        <v>4922</v>
      </c>
      <c r="CJ19" t="n">
        <v>5080</v>
      </c>
      <c r="CK19" t="n">
        <v>98527</v>
      </c>
      <c r="CL19" t="n">
        <v>1974</v>
      </c>
      <c r="CM19" t="n">
        <v>1462</v>
      </c>
      <c r="CN19" t="n">
        <v>28860</v>
      </c>
      <c r="CO19" t="n">
        <v>3106</v>
      </c>
      <c r="CP19" t="n">
        <v>2243</v>
      </c>
      <c r="CQ19" t="n">
        <v>69667</v>
      </c>
      <c r="CR19" t="n">
        <v>2838</v>
      </c>
      <c r="CS19" t="n">
        <v>2242</v>
      </c>
      <c r="CT19" t="n">
        <v>63624</v>
      </c>
      <c r="CU19" t="n">
        <v>58</v>
      </c>
      <c r="CV19" t="n">
        <v>2335</v>
      </c>
      <c r="CW19" t="n">
        <v>1354</v>
      </c>
      <c r="CX19" t="n">
        <v>210</v>
      </c>
      <c r="CY19" t="n">
        <v>2233</v>
      </c>
      <c r="CZ19" t="n">
        <v>4689</v>
      </c>
      <c r="DA19" t="n">
        <v>5708</v>
      </c>
      <c r="DB19" t="n">
        <v>114533</v>
      </c>
      <c r="DC19" t="n">
        <v>1816</v>
      </c>
      <c r="DD19" t="n">
        <v>1357</v>
      </c>
      <c r="DE19" t="n">
        <v>24643</v>
      </c>
      <c r="DF19" t="n">
        <v>3892</v>
      </c>
      <c r="DG19" t="n">
        <v>2310</v>
      </c>
      <c r="DH19" t="n">
        <v>89890</v>
      </c>
      <c r="DI19" t="n">
        <v>3668</v>
      </c>
      <c r="DJ19" t="n">
        <v>2316</v>
      </c>
      <c r="DK19" t="n">
        <v>84966</v>
      </c>
      <c r="DL19" t="n">
        <v>60</v>
      </c>
      <c r="DM19" t="n">
        <v>2660</v>
      </c>
      <c r="DN19" t="n">
        <v>1596</v>
      </c>
      <c r="DO19" t="n">
        <v>164</v>
      </c>
      <c r="DP19" t="n">
        <v>2029</v>
      </c>
      <c r="DQ19" t="n">
        <v>3328</v>
      </c>
      <c r="DR19" t="n">
        <v>5416</v>
      </c>
      <c r="DS19" t="n">
        <v>118514</v>
      </c>
      <c r="DT19" t="n">
        <v>2093</v>
      </c>
      <c r="DU19" t="n">
        <v>1388</v>
      </c>
      <c r="DV19" t="n">
        <v>29051</v>
      </c>
      <c r="DW19" t="n">
        <v>3323</v>
      </c>
      <c r="DX19" t="n">
        <v>2692</v>
      </c>
      <c r="DY19" t="n">
        <v>89463</v>
      </c>
      <c r="DZ19" t="n">
        <v>3082</v>
      </c>
      <c r="EA19" t="n">
        <v>2732</v>
      </c>
      <c r="EB19" t="n">
        <v>84204</v>
      </c>
      <c r="EC19" t="n">
        <v>52</v>
      </c>
      <c r="ED19" t="n">
        <v>2489</v>
      </c>
      <c r="EE19" t="n">
        <v>1294</v>
      </c>
      <c r="EF19" t="n">
        <v>189</v>
      </c>
      <c r="EG19" t="n">
        <v>2098</v>
      </c>
      <c r="EH19" t="n">
        <v>3965</v>
      </c>
      <c r="EI19" t="n">
        <v>6373</v>
      </c>
      <c r="EJ19" t="n">
        <v>153563</v>
      </c>
      <c r="EK19" t="n">
        <v>1951</v>
      </c>
      <c r="EL19" t="n">
        <v>1363</v>
      </c>
      <c r="EM19" t="n">
        <v>26592</v>
      </c>
      <c r="EN19" t="n">
        <v>4422</v>
      </c>
      <c r="EO19" t="n">
        <v>2871</v>
      </c>
      <c r="EP19" t="n">
        <v>126971</v>
      </c>
      <c r="EQ19" t="n">
        <v>4161</v>
      </c>
      <c r="ER19" t="n">
        <v>2903</v>
      </c>
      <c r="ES19" t="n">
        <v>120791</v>
      </c>
      <c r="ET19" t="n">
        <v>86</v>
      </c>
      <c r="EU19" t="n">
        <v>2980</v>
      </c>
      <c r="EV19" t="n">
        <v>2563</v>
      </c>
      <c r="EW19" t="n">
        <v>175</v>
      </c>
      <c r="EX19" t="n">
        <v>2067</v>
      </c>
      <c r="EY19" t="n">
        <v>3617</v>
      </c>
      <c r="EZ19" t="n">
        <v>4976</v>
      </c>
      <c r="FA19" t="n">
        <v>107648</v>
      </c>
      <c r="FB19" t="n">
        <v>1740</v>
      </c>
      <c r="FC19" t="n">
        <v>1387</v>
      </c>
      <c r="FD19" t="n">
        <v>24134</v>
      </c>
      <c r="FE19" t="n">
        <v>3236</v>
      </c>
      <c r="FF19" t="n">
        <v>2581</v>
      </c>
      <c r="FG19" t="n">
        <v>83514</v>
      </c>
      <c r="FH19" t="n">
        <v>2965</v>
      </c>
      <c r="FI19" t="n">
        <v>2601</v>
      </c>
      <c r="FJ19" t="n">
        <v>77125</v>
      </c>
      <c r="FK19" t="n">
        <v>49</v>
      </c>
      <c r="FL19" t="n">
        <v>3168</v>
      </c>
      <c r="FM19" t="n">
        <v>1552</v>
      </c>
      <c r="FN19" t="n">
        <v>222</v>
      </c>
      <c r="FO19" t="n">
        <v>2179</v>
      </c>
      <c r="FP19" t="n">
        <v>4837</v>
      </c>
      <c r="FQ19" t="n">
        <v>4482</v>
      </c>
      <c r="FR19" t="n">
        <v>99115</v>
      </c>
      <c r="FS19" t="n">
        <v>1506</v>
      </c>
      <c r="FT19" t="n">
        <v>1306</v>
      </c>
      <c r="FU19" t="n">
        <v>19668</v>
      </c>
      <c r="FV19" t="n">
        <v>2976</v>
      </c>
      <c r="FW19" t="n">
        <v>2670</v>
      </c>
      <c r="FX19" t="n">
        <v>79447</v>
      </c>
      <c r="FY19" t="n">
        <v>2818</v>
      </c>
      <c r="FZ19" t="n">
        <v>2698</v>
      </c>
      <c r="GA19" t="n">
        <v>76027</v>
      </c>
      <c r="GB19" t="n">
        <v>30</v>
      </c>
      <c r="GC19" t="n">
        <v>2810</v>
      </c>
      <c r="GD19" t="n">
        <v>843</v>
      </c>
      <c r="GE19" t="n">
        <v>128</v>
      </c>
      <c r="GF19" t="n">
        <v>2013</v>
      </c>
      <c r="GG19" t="n">
        <v>2577</v>
      </c>
      <c r="GH19" t="n">
        <v>5364</v>
      </c>
      <c r="GI19" t="n">
        <v>107967</v>
      </c>
      <c r="GJ19" t="n">
        <v>1711</v>
      </c>
      <c r="GK19" t="n">
        <v>1307</v>
      </c>
      <c r="GL19" t="n">
        <v>22363</v>
      </c>
      <c r="GM19" t="n">
        <v>3653</v>
      </c>
      <c r="GN19" t="n">
        <v>2343</v>
      </c>
      <c r="GO19" t="n">
        <v>85604</v>
      </c>
      <c r="GP19" t="n">
        <v>3398</v>
      </c>
      <c r="GQ19" t="n">
        <v>2366</v>
      </c>
      <c r="GR19" t="n">
        <v>80402</v>
      </c>
      <c r="GS19" t="n">
        <v>61</v>
      </c>
      <c r="GT19" t="n">
        <v>2593</v>
      </c>
      <c r="GU19" t="n">
        <v>1582</v>
      </c>
      <c r="GV19" t="n">
        <v>194</v>
      </c>
      <c r="GW19" t="n">
        <v>1866</v>
      </c>
      <c r="GX19" t="n">
        <v>3620</v>
      </c>
      <c r="GY19" t="n">
        <v>4323</v>
      </c>
      <c r="GZ19" t="n">
        <v>75722</v>
      </c>
      <c r="HA19" t="n">
        <v>1380</v>
      </c>
      <c r="HB19" t="n">
        <v>1272</v>
      </c>
      <c r="HC19" t="n">
        <v>17554</v>
      </c>
      <c r="HD19" t="n">
        <v>2943</v>
      </c>
      <c r="HE19" t="n">
        <v>1976</v>
      </c>
      <c r="HF19" t="n">
        <v>58168</v>
      </c>
      <c r="HG19" t="n">
        <v>2796</v>
      </c>
      <c r="HH19" t="n">
        <v>1983</v>
      </c>
      <c r="HI19" t="n">
        <v>55457</v>
      </c>
      <c r="HJ19" t="n">
        <v>16</v>
      </c>
      <c r="HK19" t="n">
        <v>1578</v>
      </c>
      <c r="HL19" t="n">
        <v>256</v>
      </c>
      <c r="HM19" t="n">
        <v>131</v>
      </c>
      <c r="HN19" t="n">
        <v>1878</v>
      </c>
      <c r="HO19" t="n">
        <v>2455</v>
      </c>
      <c r="HP19" t="n">
        <v>4898</v>
      </c>
      <c r="HQ19" t="n">
        <v>99039</v>
      </c>
      <c r="HR19" t="n">
        <v>1414</v>
      </c>
      <c r="HS19" t="n">
        <v>1277</v>
      </c>
      <c r="HT19" t="n">
        <v>18056</v>
      </c>
      <c r="HU19" t="n">
        <v>3484</v>
      </c>
      <c r="HV19" t="n">
        <v>2324</v>
      </c>
      <c r="HW19" t="n">
        <v>80983</v>
      </c>
      <c r="HX19" t="n">
        <v>3258</v>
      </c>
      <c r="HY19" t="n">
        <v>2375</v>
      </c>
      <c r="HZ19" t="n">
        <v>77378</v>
      </c>
      <c r="IA19" t="n">
        <v>36</v>
      </c>
      <c r="IB19" t="n">
        <v>1503</v>
      </c>
      <c r="IC19" t="n">
        <v>534</v>
      </c>
      <c r="ID19" t="n">
        <v>191</v>
      </c>
      <c r="IE19" t="n">
        <v>1609</v>
      </c>
      <c r="IF19" t="n">
        <v>3071</v>
      </c>
      <c r="IG19" t="n">
        <v>5155</v>
      </c>
      <c r="IH19" t="n">
        <v>105220</v>
      </c>
      <c r="II19" t="n">
        <v>1494</v>
      </c>
      <c r="IJ19" t="n">
        <v>1382</v>
      </c>
      <c r="IK19" t="n">
        <v>20652</v>
      </c>
      <c r="IL19" t="n">
        <v>3660</v>
      </c>
      <c r="IM19" t="n">
        <v>2310</v>
      </c>
      <c r="IN19" t="n">
        <v>84568</v>
      </c>
      <c r="IO19" t="n">
        <v>3318</v>
      </c>
      <c r="IP19" t="n">
        <v>2379</v>
      </c>
      <c r="IQ19" t="n">
        <v>78931</v>
      </c>
      <c r="IR19" t="n">
        <v>83</v>
      </c>
      <c r="IS19" t="n">
        <v>1564</v>
      </c>
      <c r="IT19" t="n">
        <v>1298</v>
      </c>
      <c r="IU19" t="n">
        <v>259</v>
      </c>
      <c r="IV19" t="n">
        <v>1673</v>
      </c>
      <c r="IW19" t="n">
        <v>4339</v>
      </c>
      <c r="IX19" t="n">
        <v>4770</v>
      </c>
      <c r="IY19" t="n">
        <v>90213</v>
      </c>
      <c r="IZ19" t="n">
        <v>1500</v>
      </c>
      <c r="JA19" t="n">
        <v>1412</v>
      </c>
      <c r="JB19" t="n">
        <v>21186</v>
      </c>
      <c r="JC19" t="n">
        <v>3270</v>
      </c>
      <c r="JD19" t="n">
        <v>2111</v>
      </c>
      <c r="JE19" t="n">
        <v>69027</v>
      </c>
      <c r="JF19" t="n">
        <v>3069</v>
      </c>
      <c r="JG19" t="n">
        <v>2129</v>
      </c>
      <c r="JH19" t="n">
        <v>65340</v>
      </c>
      <c r="JI19" t="n">
        <v>28</v>
      </c>
      <c r="JJ19" t="n">
        <v>2983</v>
      </c>
      <c r="JK19" t="n">
        <v>845</v>
      </c>
      <c r="JL19" t="n">
        <v>173</v>
      </c>
      <c r="JM19" t="n">
        <v>1644</v>
      </c>
      <c r="JN19" t="n">
        <v>2842</v>
      </c>
      <c r="JO19" t="n">
        <v>4235</v>
      </c>
      <c r="JP19" t="n">
        <v>89791</v>
      </c>
      <c r="JQ19" t="n">
        <v>1668</v>
      </c>
      <c r="JR19" t="n">
        <v>1420</v>
      </c>
      <c r="JS19" t="n">
        <v>23683</v>
      </c>
      <c r="JT19" t="n">
        <v>2568</v>
      </c>
      <c r="JU19" t="n">
        <v>2575</v>
      </c>
      <c r="JV19" t="n">
        <v>66108</v>
      </c>
      <c r="JW19" t="n">
        <v>2450</v>
      </c>
      <c r="JX19" t="n">
        <v>2617</v>
      </c>
      <c r="JY19" t="n">
        <v>64105</v>
      </c>
      <c r="JZ19" t="n">
        <v>11</v>
      </c>
      <c r="KA19" t="n">
        <v>3037</v>
      </c>
      <c r="KB19" t="n">
        <v>345</v>
      </c>
      <c r="KC19" t="n">
        <v>107</v>
      </c>
      <c r="KD19" t="n">
        <v>1556</v>
      </c>
      <c r="KE19" t="n">
        <v>1658</v>
      </c>
      <c r="KF19" t="n">
        <v>3724</v>
      </c>
      <c r="KG19" t="n">
        <v>67591</v>
      </c>
      <c r="KH19" t="n">
        <v>1342</v>
      </c>
      <c r="KI19" t="n">
        <v>1470</v>
      </c>
      <c r="KJ19" t="n">
        <v>19734</v>
      </c>
      <c r="KK19" t="n">
        <v>2382</v>
      </c>
      <c r="KL19" t="n">
        <v>2009</v>
      </c>
      <c r="KM19" t="n">
        <v>47857</v>
      </c>
      <c r="KN19" t="n">
        <v>2266</v>
      </c>
      <c r="KO19" t="n">
        <v>2052</v>
      </c>
      <c r="KP19" t="n">
        <v>46509</v>
      </c>
      <c r="KQ19" t="n">
        <v>4</v>
      </c>
      <c r="KR19" t="n">
        <v>3562</v>
      </c>
      <c r="KS19" t="n">
        <v>128</v>
      </c>
      <c r="KT19" t="n">
        <v>112</v>
      </c>
      <c r="KU19" t="n">
        <v>1084</v>
      </c>
      <c r="KV19" t="n">
        <v>1219</v>
      </c>
      <c r="KW19" t="n">
        <v>3799</v>
      </c>
      <c r="KX19" t="n">
        <v>78352</v>
      </c>
      <c r="KY19" t="n">
        <v>1253</v>
      </c>
      <c r="KZ19" t="n">
        <v>1316</v>
      </c>
      <c r="LA19" t="n">
        <v>16481</v>
      </c>
      <c r="LB19" t="n">
        <v>2546</v>
      </c>
      <c r="LC19" t="n">
        <v>2430</v>
      </c>
      <c r="LD19" t="n">
        <v>61871</v>
      </c>
      <c r="LE19" t="n">
        <v>2440</v>
      </c>
      <c r="LF19" t="n">
        <v>2463</v>
      </c>
      <c r="LG19" t="n">
        <v>60091</v>
      </c>
      <c r="LH19" t="n">
        <v>3</v>
      </c>
      <c r="LI19" t="n">
        <v>3304</v>
      </c>
      <c r="LJ19" t="n">
        <v>109</v>
      </c>
      <c r="LK19" t="n">
        <v>103</v>
      </c>
      <c r="LL19" t="n">
        <v>1621</v>
      </c>
      <c r="LM19" t="n">
        <v>1671</v>
      </c>
      <c r="LN19" t="n">
        <v>4092</v>
      </c>
      <c r="LO19" t="n">
        <v>89528</v>
      </c>
      <c r="LP19" t="n">
        <v>1183</v>
      </c>
      <c r="LQ19" t="n">
        <v>1461</v>
      </c>
      <c r="LR19" t="n">
        <v>17280</v>
      </c>
      <c r="LS19" t="n">
        <v>2909</v>
      </c>
      <c r="LT19" t="n">
        <v>2483</v>
      </c>
      <c r="LU19" t="n">
        <v>72248</v>
      </c>
      <c r="LV19" t="n">
        <v>2776</v>
      </c>
      <c r="LW19" t="n">
        <v>2517</v>
      </c>
      <c r="LX19" t="n">
        <v>69882</v>
      </c>
      <c r="LY19" t="n">
        <v>6</v>
      </c>
      <c r="LZ19" t="n">
        <v>3218</v>
      </c>
      <c r="MA19" t="n">
        <v>198</v>
      </c>
      <c r="MB19" t="n">
        <v>127</v>
      </c>
      <c r="MC19" t="n">
        <v>1704</v>
      </c>
      <c r="MD19" t="n">
        <v>2169</v>
      </c>
      <c r="ME19" t="inlineStr">
        <is>
          <t>-</t>
        </is>
      </c>
      <c r="MF19" t="inlineStr">
        <is>
          <t>-</t>
        </is>
      </c>
      <c r="MG19" t="inlineStr">
        <is>
          <t>-</t>
        </is>
      </c>
      <c r="MH19" t="inlineStr">
        <is>
          <t>-</t>
        </is>
      </c>
      <c r="MI19" t="inlineStr">
        <is>
          <t>-</t>
        </is>
      </c>
      <c r="MJ19" t="inlineStr">
        <is>
          <t>-</t>
        </is>
      </c>
      <c r="MK19" t="inlineStr">
        <is>
          <t>-</t>
        </is>
      </c>
      <c r="ML19" t="inlineStr">
        <is>
          <t>-</t>
        </is>
      </c>
      <c r="MM19" t="n">
        <v>2731</v>
      </c>
      <c r="MN19" t="n">
        <v>2380</v>
      </c>
      <c r="MO19" t="n">
        <v>65020</v>
      </c>
      <c r="MP19" t="n">
        <v>5</v>
      </c>
      <c r="MQ19" t="n">
        <v>3171</v>
      </c>
      <c r="MR19" t="n">
        <v>162</v>
      </c>
      <c r="MS19" t="inlineStr">
        <is>
          <t>-</t>
        </is>
      </c>
      <c r="MT19" t="inlineStr">
        <is>
          <t>-</t>
        </is>
      </c>
      <c r="MU19" t="inlineStr">
        <is>
          <t>-</t>
        </is>
      </c>
      <c r="MV19" t="inlineStr">
        <is>
          <t>-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-</t>
        </is>
      </c>
      <c r="NC19" t="inlineStr">
        <is>
          <t>-</t>
        </is>
      </c>
      <c r="ND19" t="n">
        <v>2265</v>
      </c>
      <c r="NE19" t="n">
        <v>2167</v>
      </c>
      <c r="NF19" t="n">
        <v>49072</v>
      </c>
      <c r="NG19" t="inlineStr">
        <is>
          <t>-</t>
        </is>
      </c>
      <c r="NH19" t="inlineStr">
        <is>
          <t>-</t>
        </is>
      </c>
      <c r="NI19" t="inlineStr">
        <is>
          <t>-</t>
        </is>
      </c>
      <c r="NJ19" t="inlineStr">
        <is>
          <t>-</t>
        </is>
      </c>
      <c r="NK19" t="inlineStr">
        <is>
          <t>-</t>
        </is>
      </c>
      <c r="NL19" t="inlineStr">
        <is>
          <t>-</t>
        </is>
      </c>
    </row>
    <row r="20">
      <c r="A20" t="inlineStr">
        <is>
          <t>경상남도</t>
        </is>
      </c>
      <c r="B20" t="inlineStr">
        <is>
          <t>소계</t>
        </is>
      </c>
      <c r="C20" t="n">
        <v>4843</v>
      </c>
      <c r="D20" t="n">
        <v>118165</v>
      </c>
      <c r="E20" t="n">
        <v>1679</v>
      </c>
      <c r="F20" t="n">
        <v>1845</v>
      </c>
      <c r="G20" t="n">
        <v>30978</v>
      </c>
      <c r="H20" t="n">
        <v>3164</v>
      </c>
      <c r="I20" t="n">
        <v>2756</v>
      </c>
      <c r="J20" t="n">
        <v>87187</v>
      </c>
      <c r="K20" t="n">
        <v>2311</v>
      </c>
      <c r="L20" t="n">
        <v>2909</v>
      </c>
      <c r="M20" t="n">
        <v>67227</v>
      </c>
      <c r="N20" t="n">
        <v>0</v>
      </c>
      <c r="O20" t="n">
        <v>0</v>
      </c>
      <c r="P20" t="n">
        <v>0</v>
      </c>
      <c r="Q20" t="n">
        <v>853</v>
      </c>
      <c r="R20" t="n">
        <v>2340</v>
      </c>
      <c r="S20" t="n">
        <v>19960</v>
      </c>
      <c r="T20" t="n">
        <v>3834</v>
      </c>
      <c r="U20" t="n">
        <v>86230</v>
      </c>
      <c r="V20" t="n">
        <v>1321</v>
      </c>
      <c r="W20" t="n">
        <v>1574</v>
      </c>
      <c r="X20" t="n">
        <v>20793</v>
      </c>
      <c r="Y20" t="n">
        <v>2513</v>
      </c>
      <c r="Z20" t="n">
        <v>2604</v>
      </c>
      <c r="AA20" t="n">
        <v>65437</v>
      </c>
      <c r="AB20" t="n">
        <v>1729</v>
      </c>
      <c r="AC20" t="n">
        <v>2656</v>
      </c>
      <c r="AD20" t="n">
        <v>45923</v>
      </c>
      <c r="AE20" t="n">
        <v>0</v>
      </c>
      <c r="AF20" t="n">
        <v>0</v>
      </c>
      <c r="AG20" t="n">
        <v>0</v>
      </c>
      <c r="AH20" t="n">
        <v>784</v>
      </c>
      <c r="AI20" t="n">
        <v>2489</v>
      </c>
      <c r="AJ20" t="n">
        <v>19514</v>
      </c>
      <c r="AK20" t="n">
        <v>3638</v>
      </c>
      <c r="AL20" t="n">
        <v>79438</v>
      </c>
      <c r="AM20" t="n">
        <v>1460</v>
      </c>
      <c r="AN20" t="n">
        <v>1553</v>
      </c>
      <c r="AO20" t="n">
        <v>22674</v>
      </c>
      <c r="AP20" t="n">
        <v>2178</v>
      </c>
      <c r="AQ20" t="n">
        <v>2606</v>
      </c>
      <c r="AR20" t="n">
        <v>56764</v>
      </c>
      <c r="AS20" t="n">
        <v>1531</v>
      </c>
      <c r="AT20" t="n">
        <v>2656</v>
      </c>
      <c r="AU20" t="n">
        <v>40660</v>
      </c>
      <c r="AV20" t="n">
        <v>7</v>
      </c>
      <c r="AW20" t="n">
        <v>3123</v>
      </c>
      <c r="AX20" t="n">
        <v>219</v>
      </c>
      <c r="AY20" t="n">
        <v>640</v>
      </c>
      <c r="AZ20" t="n">
        <v>2482</v>
      </c>
      <c r="BA20" t="n">
        <v>15885</v>
      </c>
      <c r="BB20" t="n">
        <v>3382</v>
      </c>
      <c r="BC20" t="n">
        <v>72614</v>
      </c>
      <c r="BD20" t="n">
        <v>1471</v>
      </c>
      <c r="BE20" t="n">
        <v>1351</v>
      </c>
      <c r="BF20" t="n">
        <v>19873</v>
      </c>
      <c r="BG20" t="n">
        <v>1911</v>
      </c>
      <c r="BH20" t="n">
        <v>2760</v>
      </c>
      <c r="BI20" t="n">
        <v>52741</v>
      </c>
      <c r="BJ20" t="n">
        <v>1398</v>
      </c>
      <c r="BK20" t="n">
        <v>2805</v>
      </c>
      <c r="BL20" t="n">
        <v>39213</v>
      </c>
      <c r="BM20" t="n">
        <v>0</v>
      </c>
      <c r="BN20" t="n">
        <v>0</v>
      </c>
      <c r="BO20" t="n">
        <v>0</v>
      </c>
      <c r="BP20" t="n">
        <v>513</v>
      </c>
      <c r="BQ20" t="n">
        <v>2637</v>
      </c>
      <c r="BR20" t="n">
        <v>13528</v>
      </c>
      <c r="BS20" t="n">
        <v>3569</v>
      </c>
      <c r="BT20" t="n">
        <v>69133</v>
      </c>
      <c r="BU20" t="n">
        <v>1581</v>
      </c>
      <c r="BV20" t="n">
        <v>1448</v>
      </c>
      <c r="BW20" t="n">
        <v>22893</v>
      </c>
      <c r="BX20" t="n">
        <v>1988</v>
      </c>
      <c r="BY20" t="n">
        <v>2326</v>
      </c>
      <c r="BZ20" t="n">
        <v>46240</v>
      </c>
      <c r="CA20" t="n">
        <v>1339</v>
      </c>
      <c r="CB20" t="n">
        <v>2477</v>
      </c>
      <c r="CC20" t="n">
        <v>33163</v>
      </c>
      <c r="CD20" t="n">
        <v>0</v>
      </c>
      <c r="CE20" t="n">
        <v>0</v>
      </c>
      <c r="CF20" t="n">
        <v>0</v>
      </c>
      <c r="CG20" t="n">
        <v>649</v>
      </c>
      <c r="CH20" t="n">
        <v>2015</v>
      </c>
      <c r="CI20" t="n">
        <v>13077</v>
      </c>
      <c r="CJ20" t="n">
        <v>3484</v>
      </c>
      <c r="CK20" t="n">
        <v>62307</v>
      </c>
      <c r="CL20" t="n">
        <v>1413</v>
      </c>
      <c r="CM20" t="n">
        <v>1431</v>
      </c>
      <c r="CN20" t="n">
        <v>20220</v>
      </c>
      <c r="CO20" t="n">
        <v>2071</v>
      </c>
      <c r="CP20" t="n">
        <v>2032</v>
      </c>
      <c r="CQ20" t="n">
        <v>42087</v>
      </c>
      <c r="CR20" t="n">
        <v>1472</v>
      </c>
      <c r="CS20" t="n">
        <v>2209</v>
      </c>
      <c r="CT20" t="n">
        <v>32524</v>
      </c>
      <c r="CU20" t="n">
        <v>2</v>
      </c>
      <c r="CV20" t="n">
        <v>2335</v>
      </c>
      <c r="CW20" t="n">
        <v>47</v>
      </c>
      <c r="CX20" t="n">
        <v>597</v>
      </c>
      <c r="CY20" t="n">
        <v>1594</v>
      </c>
      <c r="CZ20" t="n">
        <v>9516</v>
      </c>
      <c r="DA20" t="n">
        <v>3601</v>
      </c>
      <c r="DB20" t="n">
        <v>66397</v>
      </c>
      <c r="DC20" t="n">
        <v>1351</v>
      </c>
      <c r="DD20" t="n">
        <v>1407</v>
      </c>
      <c r="DE20" t="n">
        <v>19009</v>
      </c>
      <c r="DF20" t="n">
        <v>2250</v>
      </c>
      <c r="DG20" t="n">
        <v>2106</v>
      </c>
      <c r="DH20" t="n">
        <v>47388</v>
      </c>
      <c r="DI20" t="n">
        <v>1707</v>
      </c>
      <c r="DJ20" t="n">
        <v>2305</v>
      </c>
      <c r="DK20" t="n">
        <v>39341</v>
      </c>
      <c r="DL20" t="n">
        <v>0</v>
      </c>
      <c r="DM20" t="n">
        <v>0</v>
      </c>
      <c r="DN20" t="n">
        <v>0</v>
      </c>
      <c r="DO20" t="n">
        <v>543</v>
      </c>
      <c r="DP20" t="n">
        <v>1482</v>
      </c>
      <c r="DQ20" t="n">
        <v>8047</v>
      </c>
      <c r="DR20" t="n">
        <v>3534</v>
      </c>
      <c r="DS20" t="n">
        <v>64557</v>
      </c>
      <c r="DT20" t="n">
        <v>1447</v>
      </c>
      <c r="DU20" t="n">
        <v>1354</v>
      </c>
      <c r="DV20" t="n">
        <v>19592</v>
      </c>
      <c r="DW20" t="n">
        <v>2087</v>
      </c>
      <c r="DX20" t="n">
        <v>2155</v>
      </c>
      <c r="DY20" t="n">
        <v>44965</v>
      </c>
      <c r="DZ20" t="n">
        <v>1577</v>
      </c>
      <c r="EA20" t="n">
        <v>2387</v>
      </c>
      <c r="EB20" t="n">
        <v>37636</v>
      </c>
      <c r="EC20" t="n">
        <v>0</v>
      </c>
      <c r="ED20" t="n">
        <v>0</v>
      </c>
      <c r="EE20" t="n">
        <v>0</v>
      </c>
      <c r="EF20" t="n">
        <v>510</v>
      </c>
      <c r="EG20" t="n">
        <v>1437</v>
      </c>
      <c r="EH20" t="n">
        <v>7329</v>
      </c>
      <c r="EI20" t="n">
        <v>3838</v>
      </c>
      <c r="EJ20" t="n">
        <v>70991</v>
      </c>
      <c r="EK20" t="n">
        <v>1494</v>
      </c>
      <c r="EL20" t="n">
        <v>1418</v>
      </c>
      <c r="EM20" t="n">
        <v>21185</v>
      </c>
      <c r="EN20" t="n">
        <v>2344</v>
      </c>
      <c r="EO20" t="n">
        <v>2125</v>
      </c>
      <c r="EP20" t="n">
        <v>49806</v>
      </c>
      <c r="EQ20" t="n">
        <v>1958</v>
      </c>
      <c r="ER20" t="n">
        <v>2248</v>
      </c>
      <c r="ES20" t="n">
        <v>44020</v>
      </c>
      <c r="ET20" t="n">
        <v>0</v>
      </c>
      <c r="EU20" t="n">
        <v>0</v>
      </c>
      <c r="EV20" t="n">
        <v>0</v>
      </c>
      <c r="EW20" t="n">
        <v>386</v>
      </c>
      <c r="EX20" t="n">
        <v>1499</v>
      </c>
      <c r="EY20" t="n">
        <v>5786</v>
      </c>
      <c r="EZ20" t="n">
        <v>3147</v>
      </c>
      <c r="FA20" t="n">
        <v>59774</v>
      </c>
      <c r="FB20" t="n">
        <v>1541</v>
      </c>
      <c r="FC20" t="n">
        <v>1397</v>
      </c>
      <c r="FD20" t="n">
        <v>21528</v>
      </c>
      <c r="FE20" t="n">
        <v>1606</v>
      </c>
      <c r="FF20" t="n">
        <v>2381</v>
      </c>
      <c r="FG20" t="n">
        <v>38246</v>
      </c>
      <c r="FH20" t="n">
        <v>1253</v>
      </c>
      <c r="FI20" t="n">
        <v>2656</v>
      </c>
      <c r="FJ20" t="n">
        <v>33283</v>
      </c>
      <c r="FK20" t="n">
        <v>0</v>
      </c>
      <c r="FL20" t="n">
        <v>0</v>
      </c>
      <c r="FM20" t="n">
        <v>0</v>
      </c>
      <c r="FN20" t="n">
        <v>353</v>
      </c>
      <c r="FO20" t="n">
        <v>1406</v>
      </c>
      <c r="FP20" t="n">
        <v>4963</v>
      </c>
      <c r="FQ20" t="n">
        <v>2975</v>
      </c>
      <c r="FR20" t="n">
        <v>55774</v>
      </c>
      <c r="FS20" t="n">
        <v>1275</v>
      </c>
      <c r="FT20" t="n">
        <v>1312</v>
      </c>
      <c r="FU20" t="n">
        <v>16728</v>
      </c>
      <c r="FV20" t="n">
        <v>1700</v>
      </c>
      <c r="FW20" t="n">
        <v>2297</v>
      </c>
      <c r="FX20" t="n">
        <v>39046</v>
      </c>
      <c r="FY20" t="n">
        <v>1421</v>
      </c>
      <c r="FZ20" t="n">
        <v>2494</v>
      </c>
      <c r="GA20" t="n">
        <v>35441</v>
      </c>
      <c r="GB20" t="n">
        <v>0</v>
      </c>
      <c r="GC20" t="n">
        <v>0</v>
      </c>
      <c r="GD20" t="n">
        <v>0</v>
      </c>
      <c r="GE20" t="n">
        <v>279</v>
      </c>
      <c r="GF20" t="n">
        <v>1292</v>
      </c>
      <c r="GG20" t="n">
        <v>3605</v>
      </c>
      <c r="GH20" t="n">
        <v>3277</v>
      </c>
      <c r="GI20" t="n">
        <v>61485</v>
      </c>
      <c r="GJ20" t="n">
        <v>1242</v>
      </c>
      <c r="GK20" t="n">
        <v>1182</v>
      </c>
      <c r="GL20" t="n">
        <v>14680</v>
      </c>
      <c r="GM20" t="n">
        <v>2035</v>
      </c>
      <c r="GN20" t="n">
        <v>2300</v>
      </c>
      <c r="GO20" t="n">
        <v>46805</v>
      </c>
      <c r="GP20" t="n">
        <v>1573</v>
      </c>
      <c r="GQ20" t="n">
        <v>2583</v>
      </c>
      <c r="GR20" t="n">
        <v>40637</v>
      </c>
      <c r="GS20" t="n">
        <v>0</v>
      </c>
      <c r="GT20" t="n">
        <v>0</v>
      </c>
      <c r="GU20" t="n">
        <v>0</v>
      </c>
      <c r="GV20" t="n">
        <v>462</v>
      </c>
      <c r="GW20" t="n">
        <v>1335</v>
      </c>
      <c r="GX20" t="n">
        <v>6168</v>
      </c>
      <c r="GY20" t="n">
        <v>3085</v>
      </c>
      <c r="GZ20" t="n">
        <v>57713</v>
      </c>
      <c r="HA20" t="n">
        <v>1156</v>
      </c>
      <c r="HB20" t="n">
        <v>1288</v>
      </c>
      <c r="HC20" t="n">
        <v>14893</v>
      </c>
      <c r="HD20" t="n">
        <v>1929</v>
      </c>
      <c r="HE20" t="n">
        <v>2220</v>
      </c>
      <c r="HF20" t="n">
        <v>42820</v>
      </c>
      <c r="HG20" t="n">
        <v>1545</v>
      </c>
      <c r="HH20" t="n">
        <v>2351</v>
      </c>
      <c r="HI20" t="n">
        <v>36332</v>
      </c>
      <c r="HJ20" t="n">
        <v>0</v>
      </c>
      <c r="HK20" t="n">
        <v>0</v>
      </c>
      <c r="HL20" t="n">
        <v>0</v>
      </c>
      <c r="HM20" t="n">
        <v>383</v>
      </c>
      <c r="HN20" t="n">
        <v>1692</v>
      </c>
      <c r="HO20" t="n">
        <v>6488</v>
      </c>
      <c r="HP20" t="n">
        <v>3012</v>
      </c>
      <c r="HQ20" t="n">
        <v>54617</v>
      </c>
      <c r="HR20" t="n">
        <v>1100</v>
      </c>
      <c r="HS20" t="n">
        <v>1176</v>
      </c>
      <c r="HT20" t="n">
        <v>12933</v>
      </c>
      <c r="HU20" t="n">
        <v>1912</v>
      </c>
      <c r="HV20" t="n">
        <v>2180</v>
      </c>
      <c r="HW20" t="n">
        <v>41684</v>
      </c>
      <c r="HX20" t="n">
        <v>1474</v>
      </c>
      <c r="HY20" t="n">
        <v>2305</v>
      </c>
      <c r="HZ20" t="n">
        <v>33978</v>
      </c>
      <c r="IA20" t="n">
        <v>0</v>
      </c>
      <c r="IB20" t="n">
        <v>0</v>
      </c>
      <c r="IC20" t="n">
        <v>0</v>
      </c>
      <c r="ID20" t="n">
        <v>438</v>
      </c>
      <c r="IE20" t="n">
        <v>1760</v>
      </c>
      <c r="IF20" t="n">
        <v>7706</v>
      </c>
      <c r="IG20" t="n">
        <v>3786</v>
      </c>
      <c r="IH20" t="n">
        <v>75787</v>
      </c>
      <c r="II20" t="n">
        <v>1107</v>
      </c>
      <c r="IJ20" t="n">
        <v>1434</v>
      </c>
      <c r="IK20" t="n">
        <v>15869</v>
      </c>
      <c r="IL20" t="n">
        <v>2680</v>
      </c>
      <c r="IM20" t="n">
        <v>2236</v>
      </c>
      <c r="IN20" t="n">
        <v>59918</v>
      </c>
      <c r="IO20" t="n">
        <v>1993</v>
      </c>
      <c r="IP20" t="n">
        <v>2558</v>
      </c>
      <c r="IQ20" t="n">
        <v>50973</v>
      </c>
      <c r="IR20" t="n">
        <v>0</v>
      </c>
      <c r="IS20" t="n">
        <v>0</v>
      </c>
      <c r="IT20" t="n">
        <v>0</v>
      </c>
      <c r="IU20" t="n">
        <v>687</v>
      </c>
      <c r="IV20" t="n">
        <v>1302</v>
      </c>
      <c r="IW20" t="n">
        <v>8945</v>
      </c>
      <c r="IX20" t="n">
        <v>3970</v>
      </c>
      <c r="IY20" t="n">
        <v>69619</v>
      </c>
      <c r="IZ20" t="n">
        <v>1209</v>
      </c>
      <c r="JA20" t="n">
        <v>1558</v>
      </c>
      <c r="JB20" t="n">
        <v>18840</v>
      </c>
      <c r="JC20" t="n">
        <v>2761</v>
      </c>
      <c r="JD20" t="n">
        <v>1839</v>
      </c>
      <c r="JE20" t="n">
        <v>50779</v>
      </c>
      <c r="JF20" t="n">
        <v>1943</v>
      </c>
      <c r="JG20" t="n">
        <v>2022</v>
      </c>
      <c r="JH20" t="n">
        <v>39276</v>
      </c>
      <c r="JI20" t="n">
        <v>0</v>
      </c>
      <c r="JJ20" t="n">
        <v>0</v>
      </c>
      <c r="JK20" t="n">
        <v>0</v>
      </c>
      <c r="JL20" t="n">
        <v>818</v>
      </c>
      <c r="JM20" t="n">
        <v>1406</v>
      </c>
      <c r="JN20" t="n">
        <v>11503</v>
      </c>
      <c r="JO20" t="n">
        <v>2977</v>
      </c>
      <c r="JP20" t="n">
        <v>58312</v>
      </c>
      <c r="JQ20" t="n">
        <v>1250</v>
      </c>
      <c r="JR20" t="n">
        <v>1484</v>
      </c>
      <c r="JS20" t="n">
        <v>18556</v>
      </c>
      <c r="JT20" t="n">
        <v>1726</v>
      </c>
      <c r="JU20" t="n">
        <v>2303</v>
      </c>
      <c r="JV20" t="n">
        <v>39756</v>
      </c>
      <c r="JW20" t="n">
        <v>1314</v>
      </c>
      <c r="JX20" t="n">
        <v>2578</v>
      </c>
      <c r="JY20" t="n">
        <v>33865</v>
      </c>
      <c r="JZ20" t="n">
        <v>0</v>
      </c>
      <c r="KA20" t="n">
        <v>0</v>
      </c>
      <c r="KB20" t="n">
        <v>0</v>
      </c>
      <c r="KC20" t="n">
        <v>413</v>
      </c>
      <c r="KD20" t="n">
        <v>1428</v>
      </c>
      <c r="KE20" t="n">
        <v>5891</v>
      </c>
      <c r="KF20" t="n">
        <v>3058</v>
      </c>
      <c r="KG20" t="n">
        <v>52350</v>
      </c>
      <c r="KH20" t="n">
        <v>1104</v>
      </c>
      <c r="KI20" t="n">
        <v>1669</v>
      </c>
      <c r="KJ20" t="n">
        <v>18423</v>
      </c>
      <c r="KK20" t="n">
        <v>1954</v>
      </c>
      <c r="KL20" t="n">
        <v>1736</v>
      </c>
      <c r="KM20" t="n">
        <v>33927</v>
      </c>
      <c r="KN20" t="n">
        <v>1198</v>
      </c>
      <c r="KO20" t="n">
        <v>1945</v>
      </c>
      <c r="KP20" t="n">
        <v>23312</v>
      </c>
      <c r="KQ20" t="n">
        <v>0</v>
      </c>
      <c r="KR20" t="n">
        <v>0</v>
      </c>
      <c r="KS20" t="n">
        <v>0</v>
      </c>
      <c r="KT20" t="n">
        <v>756</v>
      </c>
      <c r="KU20" t="n">
        <v>1405</v>
      </c>
      <c r="KV20" t="n">
        <v>10615</v>
      </c>
      <c r="KW20" t="n">
        <v>2737</v>
      </c>
      <c r="KX20" t="n">
        <v>52428</v>
      </c>
      <c r="KY20" t="n">
        <v>1017</v>
      </c>
      <c r="KZ20" t="n">
        <v>1653</v>
      </c>
      <c r="LA20" t="n">
        <v>16808</v>
      </c>
      <c r="LB20" t="n">
        <v>1720</v>
      </c>
      <c r="LC20" t="n">
        <v>2071</v>
      </c>
      <c r="LD20" t="n">
        <v>35620</v>
      </c>
      <c r="LE20" t="n">
        <v>1348</v>
      </c>
      <c r="LF20" t="n">
        <v>2243</v>
      </c>
      <c r="LG20" t="n">
        <v>30230</v>
      </c>
      <c r="LH20" t="n">
        <v>0</v>
      </c>
      <c r="LI20" t="n">
        <v>0</v>
      </c>
      <c r="LJ20" t="n">
        <v>0</v>
      </c>
      <c r="LK20" t="n">
        <v>373</v>
      </c>
      <c r="LL20" t="n">
        <v>1446</v>
      </c>
      <c r="LM20" t="n">
        <v>5390</v>
      </c>
      <c r="LN20" t="n">
        <v>2675</v>
      </c>
      <c r="LO20" t="n">
        <v>56535</v>
      </c>
      <c r="LP20" t="n">
        <v>896</v>
      </c>
      <c r="LQ20" t="n">
        <v>1575</v>
      </c>
      <c r="LR20" t="n">
        <v>14111</v>
      </c>
      <c r="LS20" t="n">
        <v>1779</v>
      </c>
      <c r="LT20" t="n">
        <v>2385</v>
      </c>
      <c r="LU20" t="n">
        <v>42424</v>
      </c>
      <c r="LV20" t="n">
        <v>1350</v>
      </c>
      <c r="LW20" t="n">
        <v>2631</v>
      </c>
      <c r="LX20" t="n">
        <v>35526</v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n">
        <v>428</v>
      </c>
      <c r="MC20" t="n">
        <v>1611</v>
      </c>
      <c r="MD20" t="n">
        <v>6898</v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n">
        <v>1400</v>
      </c>
      <c r="MN20" t="n">
        <v>2255</v>
      </c>
      <c r="MO20" t="n">
        <v>31564</v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-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-</t>
        </is>
      </c>
      <c r="NC20" t="inlineStr">
        <is>
          <t>-</t>
        </is>
      </c>
      <c r="ND20" t="n">
        <v>1170</v>
      </c>
      <c r="NE20" t="n">
        <v>2560</v>
      </c>
      <c r="NF20" t="n">
        <v>29946</v>
      </c>
      <c r="NG20" t="inlineStr">
        <is>
          <t>-</t>
        </is>
      </c>
      <c r="NH20" t="inlineStr">
        <is>
          <t>-</t>
        </is>
      </c>
      <c r="NI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</row>
    <row r="21">
      <c r="A21" t="inlineStr">
        <is>
          <t>제주특별자치도</t>
        </is>
      </c>
      <c r="B21" t="inlineStr">
        <is>
          <t>소계</t>
        </is>
      </c>
      <c r="C21" t="n">
        <v>6278</v>
      </c>
      <c r="D21" t="n">
        <v>135875</v>
      </c>
      <c r="E21" t="n">
        <v>104</v>
      </c>
      <c r="F21" t="n">
        <v>2105</v>
      </c>
      <c r="G21" t="n">
        <v>2189</v>
      </c>
      <c r="H21" t="n">
        <v>6174</v>
      </c>
      <c r="I21" t="n">
        <v>2165</v>
      </c>
      <c r="J21" t="n">
        <v>133686</v>
      </c>
      <c r="K21" t="n">
        <v>1991</v>
      </c>
      <c r="L21" t="n">
        <v>2271</v>
      </c>
      <c r="M21" t="n">
        <v>45216</v>
      </c>
      <c r="N21" t="n">
        <v>0</v>
      </c>
      <c r="O21" t="n">
        <v>0</v>
      </c>
      <c r="P21" t="n">
        <v>0</v>
      </c>
      <c r="Q21" t="n">
        <v>4183</v>
      </c>
      <c r="R21" t="n">
        <v>2115</v>
      </c>
      <c r="S21" t="n">
        <v>88470</v>
      </c>
      <c r="T21" t="n">
        <v>4540</v>
      </c>
      <c r="U21" t="n">
        <v>102052</v>
      </c>
      <c r="V21" t="n">
        <v>373</v>
      </c>
      <c r="W21" t="n">
        <v>2064</v>
      </c>
      <c r="X21" t="n">
        <v>7699</v>
      </c>
      <c r="Y21" t="n">
        <v>4167</v>
      </c>
      <c r="Z21" t="n">
        <v>2264</v>
      </c>
      <c r="AA21" t="n">
        <v>94353</v>
      </c>
      <c r="AB21" t="n">
        <v>1448</v>
      </c>
      <c r="AC21" t="n">
        <v>2505</v>
      </c>
      <c r="AD21" t="n">
        <v>36275</v>
      </c>
      <c r="AE21" t="n">
        <v>0</v>
      </c>
      <c r="AF21" t="n">
        <v>0</v>
      </c>
      <c r="AG21" t="n">
        <v>0</v>
      </c>
      <c r="AH21" t="n">
        <v>2719</v>
      </c>
      <c r="AI21" t="n">
        <v>2136</v>
      </c>
      <c r="AJ21" t="n">
        <v>58078</v>
      </c>
      <c r="AK21" t="n">
        <v>2974</v>
      </c>
      <c r="AL21" t="n">
        <v>59944</v>
      </c>
      <c r="AM21" t="n">
        <v>257</v>
      </c>
      <c r="AN21" t="n">
        <v>1907</v>
      </c>
      <c r="AO21" t="n">
        <v>4901</v>
      </c>
      <c r="AP21" t="n">
        <v>2717</v>
      </c>
      <c r="AQ21" t="n">
        <v>2026</v>
      </c>
      <c r="AR21" t="n">
        <v>55043</v>
      </c>
      <c r="AS21" t="n">
        <v>1060</v>
      </c>
      <c r="AT21" t="n">
        <v>2349</v>
      </c>
      <c r="AU21" t="n">
        <v>24902</v>
      </c>
      <c r="AV21" t="n">
        <v>0</v>
      </c>
      <c r="AW21" t="n">
        <v>0</v>
      </c>
      <c r="AX21" t="n">
        <v>0</v>
      </c>
      <c r="AY21" t="n">
        <v>1657</v>
      </c>
      <c r="AZ21" t="n">
        <v>1819</v>
      </c>
      <c r="BA21" t="n">
        <v>30141</v>
      </c>
      <c r="BB21" t="n">
        <v>2755</v>
      </c>
      <c r="BC21" t="n">
        <v>59018</v>
      </c>
      <c r="BD21" t="n">
        <v>92</v>
      </c>
      <c r="BE21" t="n">
        <v>2049</v>
      </c>
      <c r="BF21" t="n">
        <v>1885</v>
      </c>
      <c r="BG21" t="n">
        <v>2663</v>
      </c>
      <c r="BH21" t="n">
        <v>2145</v>
      </c>
      <c r="BI21" t="n">
        <v>57133</v>
      </c>
      <c r="BJ21" t="n">
        <v>902</v>
      </c>
      <c r="BK21" t="n">
        <v>2387</v>
      </c>
      <c r="BL21" t="n">
        <v>21526</v>
      </c>
      <c r="BM21" t="n">
        <v>0</v>
      </c>
      <c r="BN21" t="n">
        <v>0</v>
      </c>
      <c r="BO21" t="n">
        <v>0</v>
      </c>
      <c r="BP21" t="n">
        <v>1761</v>
      </c>
      <c r="BQ21" t="n">
        <v>2022</v>
      </c>
      <c r="BR21" t="n">
        <v>35607</v>
      </c>
      <c r="BS21" t="n">
        <v>2553</v>
      </c>
      <c r="BT21" t="n">
        <v>53501</v>
      </c>
      <c r="BU21" t="n">
        <v>140</v>
      </c>
      <c r="BV21" t="n">
        <v>2043</v>
      </c>
      <c r="BW21" t="n">
        <v>2860</v>
      </c>
      <c r="BX21" t="n">
        <v>2413</v>
      </c>
      <c r="BY21" t="n">
        <v>2099</v>
      </c>
      <c r="BZ21" t="n">
        <v>50641</v>
      </c>
      <c r="CA21" t="n">
        <v>1024</v>
      </c>
      <c r="CB21" t="n">
        <v>2298</v>
      </c>
      <c r="CC21" t="n">
        <v>23528</v>
      </c>
      <c r="CD21" t="n">
        <v>0</v>
      </c>
      <c r="CE21" t="n">
        <v>0</v>
      </c>
      <c r="CF21" t="n">
        <v>0</v>
      </c>
      <c r="CG21" t="n">
        <v>1389</v>
      </c>
      <c r="CH21" t="n">
        <v>1952</v>
      </c>
      <c r="CI21" t="n">
        <v>27113</v>
      </c>
      <c r="CJ21" t="n">
        <v>2892</v>
      </c>
      <c r="CK21" t="n">
        <v>51911</v>
      </c>
      <c r="CL21" t="n">
        <v>126</v>
      </c>
      <c r="CM21" t="n">
        <v>1908</v>
      </c>
      <c r="CN21" t="n">
        <v>2404</v>
      </c>
      <c r="CO21" t="n">
        <v>2766</v>
      </c>
      <c r="CP21" t="n">
        <v>1790</v>
      </c>
      <c r="CQ21" t="n">
        <v>49507</v>
      </c>
      <c r="CR21" t="n">
        <v>1022</v>
      </c>
      <c r="CS21" t="n">
        <v>2081</v>
      </c>
      <c r="CT21" t="n">
        <v>21272</v>
      </c>
      <c r="CU21" t="n">
        <v>0</v>
      </c>
      <c r="CV21" t="n">
        <v>0</v>
      </c>
      <c r="CW21" t="n">
        <v>0</v>
      </c>
      <c r="CX21" t="n">
        <v>1744</v>
      </c>
      <c r="CY21" t="n">
        <v>1619</v>
      </c>
      <c r="CZ21" t="n">
        <v>28235</v>
      </c>
      <c r="DA21" t="n">
        <v>2900</v>
      </c>
      <c r="DB21" t="n">
        <v>64149</v>
      </c>
      <c r="DC21" t="n">
        <v>86</v>
      </c>
      <c r="DD21" t="n">
        <v>1806</v>
      </c>
      <c r="DE21" t="n">
        <v>1553</v>
      </c>
      <c r="DF21" t="n">
        <v>2814</v>
      </c>
      <c r="DG21" t="n">
        <v>2224</v>
      </c>
      <c r="DH21" t="n">
        <v>62596</v>
      </c>
      <c r="DI21" t="n">
        <v>1237</v>
      </c>
      <c r="DJ21" t="n">
        <v>2716</v>
      </c>
      <c r="DK21" t="n">
        <v>33595</v>
      </c>
      <c r="DL21" t="n">
        <v>0</v>
      </c>
      <c r="DM21" t="n">
        <v>0</v>
      </c>
      <c r="DN21" t="n">
        <v>0</v>
      </c>
      <c r="DO21" t="n">
        <v>1577</v>
      </c>
      <c r="DP21" t="n">
        <v>1839</v>
      </c>
      <c r="DQ21" t="n">
        <v>29001</v>
      </c>
      <c r="DR21" t="n">
        <v>2687</v>
      </c>
      <c r="DS21" t="n">
        <v>48199</v>
      </c>
      <c r="DT21" t="n">
        <v>113</v>
      </c>
      <c r="DU21" t="n">
        <v>1837</v>
      </c>
      <c r="DV21" t="n">
        <v>2076</v>
      </c>
      <c r="DW21" t="n">
        <v>2574</v>
      </c>
      <c r="DX21" t="n">
        <v>1792</v>
      </c>
      <c r="DY21" t="n">
        <v>46123</v>
      </c>
      <c r="DZ21" t="n">
        <v>799</v>
      </c>
      <c r="EA21" t="n">
        <v>1998</v>
      </c>
      <c r="EB21" t="n">
        <v>15966</v>
      </c>
      <c r="EC21" t="n">
        <v>0</v>
      </c>
      <c r="ED21" t="n">
        <v>0</v>
      </c>
      <c r="EE21" t="n">
        <v>0</v>
      </c>
      <c r="EF21" t="n">
        <v>1775</v>
      </c>
      <c r="EG21" t="n">
        <v>1699</v>
      </c>
      <c r="EH21" t="n">
        <v>30157</v>
      </c>
      <c r="EI21" t="n">
        <v>1979</v>
      </c>
      <c r="EJ21" t="n">
        <v>39988</v>
      </c>
      <c r="EK21" t="n">
        <v>182</v>
      </c>
      <c r="EL21" t="n">
        <v>1551</v>
      </c>
      <c r="EM21" t="n">
        <v>2823</v>
      </c>
      <c r="EN21" t="n">
        <v>1797</v>
      </c>
      <c r="EO21" t="n">
        <v>2068</v>
      </c>
      <c r="EP21" t="n">
        <v>37165</v>
      </c>
      <c r="EQ21" t="n">
        <v>835</v>
      </c>
      <c r="ER21" t="n">
        <v>2609</v>
      </c>
      <c r="ES21" t="n">
        <v>21783</v>
      </c>
      <c r="ET21" t="n">
        <v>0</v>
      </c>
      <c r="EU21" t="n">
        <v>0</v>
      </c>
      <c r="EV21" t="n">
        <v>0</v>
      </c>
      <c r="EW21" t="n">
        <v>962</v>
      </c>
      <c r="EX21" t="n">
        <v>1599</v>
      </c>
      <c r="EY21" t="n">
        <v>15382</v>
      </c>
      <c r="EZ21" t="n">
        <v>1439</v>
      </c>
      <c r="FA21" t="n">
        <v>30110</v>
      </c>
      <c r="FB21" t="n">
        <v>57</v>
      </c>
      <c r="FC21" t="n">
        <v>1949</v>
      </c>
      <c r="FD21" t="n">
        <v>1111</v>
      </c>
      <c r="FE21" t="n">
        <v>1382</v>
      </c>
      <c r="FF21" t="n">
        <v>2098</v>
      </c>
      <c r="FG21" t="n">
        <v>28999</v>
      </c>
      <c r="FH21" t="n">
        <v>281</v>
      </c>
      <c r="FI21" t="n">
        <v>3009</v>
      </c>
      <c r="FJ21" t="n">
        <v>8454</v>
      </c>
      <c r="FK21" t="n">
        <v>0</v>
      </c>
      <c r="FL21" t="n">
        <v>0</v>
      </c>
      <c r="FM21" t="n">
        <v>0</v>
      </c>
      <c r="FN21" t="n">
        <v>1101</v>
      </c>
      <c r="FO21" t="n">
        <v>1866</v>
      </c>
      <c r="FP21" t="n">
        <v>20545</v>
      </c>
      <c r="FQ21" t="n">
        <v>1203</v>
      </c>
      <c r="FR21" t="n">
        <v>23289</v>
      </c>
      <c r="FS21" t="n">
        <v>74</v>
      </c>
      <c r="FT21" t="n">
        <v>1755</v>
      </c>
      <c r="FU21" t="n">
        <v>1299</v>
      </c>
      <c r="FV21" t="n">
        <v>1129</v>
      </c>
      <c r="FW21" t="n">
        <v>1948</v>
      </c>
      <c r="FX21" t="n">
        <v>21990</v>
      </c>
      <c r="FY21" t="n">
        <v>419</v>
      </c>
      <c r="FZ21" t="n">
        <v>2463</v>
      </c>
      <c r="GA21" t="n">
        <v>10318</v>
      </c>
      <c r="GB21" t="n">
        <v>0</v>
      </c>
      <c r="GC21" t="n">
        <v>0</v>
      </c>
      <c r="GD21" t="n">
        <v>0</v>
      </c>
      <c r="GE21" t="n">
        <v>710</v>
      </c>
      <c r="GF21" t="n">
        <v>1644</v>
      </c>
      <c r="GG21" t="n">
        <v>11672</v>
      </c>
      <c r="GH21" t="n">
        <v>1986</v>
      </c>
      <c r="GI21" t="n">
        <v>28951</v>
      </c>
      <c r="GJ21" t="n">
        <v>205</v>
      </c>
      <c r="GK21" t="n">
        <v>1495</v>
      </c>
      <c r="GL21" t="n">
        <v>3065</v>
      </c>
      <c r="GM21" t="n">
        <v>1781</v>
      </c>
      <c r="GN21" t="n">
        <v>1453</v>
      </c>
      <c r="GO21" t="n">
        <v>25886</v>
      </c>
      <c r="GP21" t="n">
        <v>610</v>
      </c>
      <c r="GQ21" t="n">
        <v>2322</v>
      </c>
      <c r="GR21" t="n">
        <v>14164</v>
      </c>
      <c r="GS21" t="n">
        <v>0</v>
      </c>
      <c r="GT21" t="n">
        <v>0</v>
      </c>
      <c r="GU21" t="n">
        <v>0</v>
      </c>
      <c r="GV21" t="n">
        <v>1171</v>
      </c>
      <c r="GW21" t="n">
        <v>1001</v>
      </c>
      <c r="GX21" t="n">
        <v>11722</v>
      </c>
      <c r="GY21" t="n">
        <v>1727</v>
      </c>
      <c r="GZ21" t="n">
        <v>31392</v>
      </c>
      <c r="HA21" t="n">
        <v>155</v>
      </c>
      <c r="HB21" t="n">
        <v>1900</v>
      </c>
      <c r="HC21" t="n">
        <v>2952</v>
      </c>
      <c r="HD21" t="n">
        <v>1571</v>
      </c>
      <c r="HE21" t="n">
        <v>1810</v>
      </c>
      <c r="HF21" t="n">
        <v>28440</v>
      </c>
      <c r="HG21" t="n">
        <v>612</v>
      </c>
      <c r="HH21" t="n">
        <v>2259</v>
      </c>
      <c r="HI21" t="n">
        <v>13818</v>
      </c>
      <c r="HJ21" t="n">
        <v>0</v>
      </c>
      <c r="HK21" t="n">
        <v>0</v>
      </c>
      <c r="HL21" t="n">
        <v>0</v>
      </c>
      <c r="HM21" t="n">
        <v>959</v>
      </c>
      <c r="HN21" t="n">
        <v>1524</v>
      </c>
      <c r="HO21" t="n">
        <v>14622</v>
      </c>
      <c r="HP21" t="n">
        <v>2201</v>
      </c>
      <c r="HQ21" t="n">
        <v>41486</v>
      </c>
      <c r="HR21" t="n">
        <v>97</v>
      </c>
      <c r="HS21" t="n">
        <v>1430</v>
      </c>
      <c r="HT21" t="n">
        <v>1385</v>
      </c>
      <c r="HU21" t="n">
        <v>2104</v>
      </c>
      <c r="HV21" t="n">
        <v>1906</v>
      </c>
      <c r="HW21" t="n">
        <v>40101</v>
      </c>
      <c r="HX21" t="n">
        <v>675</v>
      </c>
      <c r="HY21" t="n">
        <v>2298</v>
      </c>
      <c r="HZ21" t="n">
        <v>15513</v>
      </c>
      <c r="IA21" t="n">
        <v>0</v>
      </c>
      <c r="IB21" t="n">
        <v>0</v>
      </c>
      <c r="IC21" t="n">
        <v>0</v>
      </c>
      <c r="ID21" t="n">
        <v>1429</v>
      </c>
      <c r="IE21" t="n">
        <v>1721</v>
      </c>
      <c r="IF21" t="n">
        <v>24588</v>
      </c>
      <c r="IG21" t="n">
        <v>1760</v>
      </c>
      <c r="IH21" t="n">
        <v>33657</v>
      </c>
      <c r="II21" t="n">
        <v>107</v>
      </c>
      <c r="IJ21" t="n">
        <v>1495</v>
      </c>
      <c r="IK21" t="n">
        <v>1598</v>
      </c>
      <c r="IL21" t="n">
        <v>1653</v>
      </c>
      <c r="IM21" t="n">
        <v>1939</v>
      </c>
      <c r="IN21" t="n">
        <v>32059</v>
      </c>
      <c r="IO21" t="n">
        <v>706</v>
      </c>
      <c r="IP21" t="n">
        <v>2758</v>
      </c>
      <c r="IQ21" t="n">
        <v>19477</v>
      </c>
      <c r="IR21" t="n">
        <v>0</v>
      </c>
      <c r="IS21" t="n">
        <v>0</v>
      </c>
      <c r="IT21" t="n">
        <v>0</v>
      </c>
      <c r="IU21" t="n">
        <v>947</v>
      </c>
      <c r="IV21" t="n">
        <v>1329</v>
      </c>
      <c r="IW21" t="n">
        <v>12582</v>
      </c>
      <c r="IX21" t="n">
        <v>1633</v>
      </c>
      <c r="IY21" t="n">
        <v>33153</v>
      </c>
      <c r="IZ21" t="n">
        <v>68</v>
      </c>
      <c r="JA21" t="n">
        <v>1539</v>
      </c>
      <c r="JB21" t="n">
        <v>1054</v>
      </c>
      <c r="JC21" t="n">
        <v>1565</v>
      </c>
      <c r="JD21" t="n">
        <v>2051</v>
      </c>
      <c r="JE21" t="n">
        <v>32099</v>
      </c>
      <c r="JF21" t="n">
        <v>643</v>
      </c>
      <c r="JG21" t="n">
        <v>2983</v>
      </c>
      <c r="JH21" t="n">
        <v>19182</v>
      </c>
      <c r="JI21" t="n">
        <v>0</v>
      </c>
      <c r="JJ21" t="n">
        <v>0</v>
      </c>
      <c r="JK21" t="n">
        <v>0</v>
      </c>
      <c r="JL21" t="n">
        <v>922</v>
      </c>
      <c r="JM21" t="n">
        <v>1401</v>
      </c>
      <c r="JN21" t="n">
        <v>12917</v>
      </c>
      <c r="JO21" t="n">
        <v>1858</v>
      </c>
      <c r="JP21" t="n">
        <v>39220</v>
      </c>
      <c r="JQ21" t="n">
        <v>126</v>
      </c>
      <c r="JR21" t="n">
        <v>1431</v>
      </c>
      <c r="JS21" t="n">
        <v>1803</v>
      </c>
      <c r="JT21" t="n">
        <v>1732</v>
      </c>
      <c r="JU21" t="n">
        <v>2161</v>
      </c>
      <c r="JV21" t="n">
        <v>37417</v>
      </c>
      <c r="JW21" t="n">
        <v>790</v>
      </c>
      <c r="JX21" t="n">
        <v>3034</v>
      </c>
      <c r="JY21" t="n">
        <v>23966</v>
      </c>
      <c r="JZ21" t="n">
        <v>0</v>
      </c>
      <c r="KA21" t="n">
        <v>0</v>
      </c>
      <c r="KB21" t="n">
        <v>0</v>
      </c>
      <c r="KC21" t="n">
        <v>942</v>
      </c>
      <c r="KD21" t="n">
        <v>1428</v>
      </c>
      <c r="KE21" t="n">
        <v>13451</v>
      </c>
      <c r="KF21" t="n">
        <v>1856</v>
      </c>
      <c r="KG21" t="n">
        <v>33537</v>
      </c>
      <c r="KH21" t="n">
        <v>97</v>
      </c>
      <c r="KI21" t="n">
        <v>1384</v>
      </c>
      <c r="KJ21" t="n">
        <v>1347</v>
      </c>
      <c r="KK21" t="n">
        <v>1759</v>
      </c>
      <c r="KL21" t="n">
        <v>1830</v>
      </c>
      <c r="KM21" t="n">
        <v>32190</v>
      </c>
      <c r="KN21" t="n">
        <v>526</v>
      </c>
      <c r="KO21" t="n">
        <v>3121</v>
      </c>
      <c r="KP21" t="n">
        <v>16414</v>
      </c>
      <c r="KQ21" t="n">
        <v>0</v>
      </c>
      <c r="KR21" t="n">
        <v>0</v>
      </c>
      <c r="KS21" t="n">
        <v>0</v>
      </c>
      <c r="KT21" t="n">
        <v>1233</v>
      </c>
      <c r="KU21" t="n">
        <v>1279</v>
      </c>
      <c r="KV21" t="n">
        <v>15776</v>
      </c>
      <c r="KW21" t="n">
        <v>1286</v>
      </c>
      <c r="KX21" t="n">
        <v>25363</v>
      </c>
      <c r="KY21" t="n">
        <v>48</v>
      </c>
      <c r="KZ21" t="n">
        <v>1343</v>
      </c>
      <c r="LA21" t="n">
        <v>644</v>
      </c>
      <c r="LB21" t="n">
        <v>1238</v>
      </c>
      <c r="LC21" t="n">
        <v>1996</v>
      </c>
      <c r="LD21" t="n">
        <v>24719</v>
      </c>
      <c r="LE21" t="n">
        <v>562</v>
      </c>
      <c r="LF21" t="n">
        <v>2837</v>
      </c>
      <c r="LG21" t="n">
        <v>15933</v>
      </c>
      <c r="LH21" t="n">
        <v>0</v>
      </c>
      <c r="LI21" t="n">
        <v>0</v>
      </c>
      <c r="LJ21" t="n">
        <v>0</v>
      </c>
      <c r="LK21" t="n">
        <v>677</v>
      </c>
      <c r="LL21" t="n">
        <v>1299</v>
      </c>
      <c r="LM21" t="n">
        <v>8786</v>
      </c>
      <c r="LN21" t="n">
        <v>1848</v>
      </c>
      <c r="LO21" t="n">
        <v>35746</v>
      </c>
      <c r="LP21" t="n">
        <v>45</v>
      </c>
      <c r="LQ21" t="n">
        <v>1318</v>
      </c>
      <c r="LR21" t="n">
        <v>596</v>
      </c>
      <c r="LS21" t="n">
        <v>1803</v>
      </c>
      <c r="LT21" t="n">
        <v>1950</v>
      </c>
      <c r="LU21" t="n">
        <v>35150</v>
      </c>
      <c r="LV21" t="n">
        <v>560</v>
      </c>
      <c r="LW21" t="n">
        <v>3159</v>
      </c>
      <c r="LX21" t="n">
        <v>17682</v>
      </c>
      <c r="LY21" t="inlineStr">
        <is>
          <t>-</t>
        </is>
      </c>
      <c r="LZ21" t="inlineStr">
        <is>
          <t>-</t>
        </is>
      </c>
      <c r="MA21" t="inlineStr">
        <is>
          <t>-</t>
        </is>
      </c>
      <c r="MB21" t="n">
        <v>1243</v>
      </c>
      <c r="MC21" t="n">
        <v>1405</v>
      </c>
      <c r="MD21" t="n">
        <v>17468</v>
      </c>
      <c r="ME21" t="inlineStr">
        <is>
          <t>-</t>
        </is>
      </c>
      <c r="MF21" t="inlineStr">
        <is>
          <t>-</t>
        </is>
      </c>
      <c r="MG21" t="inlineStr">
        <is>
          <t>-</t>
        </is>
      </c>
      <c r="MH21" t="inlineStr">
        <is>
          <t>-</t>
        </is>
      </c>
      <c r="MI21" t="inlineStr">
        <is>
          <t>-</t>
        </is>
      </c>
      <c r="MJ21" t="inlineStr">
        <is>
          <t>-</t>
        </is>
      </c>
      <c r="MK21" t="inlineStr">
        <is>
          <t>-</t>
        </is>
      </c>
      <c r="ML21" t="inlineStr">
        <is>
          <t>-</t>
        </is>
      </c>
      <c r="MM21" t="n">
        <v>680</v>
      </c>
      <c r="MN21" t="n">
        <v>2168</v>
      </c>
      <c r="MO21" t="n">
        <v>14753</v>
      </c>
      <c r="MP21" t="inlineStr">
        <is>
          <t>-</t>
        </is>
      </c>
      <c r="MQ21" t="inlineStr">
        <is>
          <t>-</t>
        </is>
      </c>
      <c r="MR21" t="inlineStr">
        <is>
          <t>-</t>
        </is>
      </c>
      <c r="MS21" t="inlineStr">
        <is>
          <t>-</t>
        </is>
      </c>
      <c r="MT21" t="inlineStr">
        <is>
          <t>-</t>
        </is>
      </c>
      <c r="MU21" t="inlineStr">
        <is>
          <t>-</t>
        </is>
      </c>
      <c r="MV21" t="inlineStr">
        <is>
          <t>-</t>
        </is>
      </c>
      <c r="MW21" t="inlineStr">
        <is>
          <t>-</t>
        </is>
      </c>
      <c r="MX21" t="inlineStr">
        <is>
          <t>-</t>
        </is>
      </c>
      <c r="MY21" t="inlineStr">
        <is>
          <t>-</t>
        </is>
      </c>
      <c r="MZ21" t="inlineStr">
        <is>
          <t>-</t>
        </is>
      </c>
      <c r="NA21" t="inlineStr">
        <is>
          <t>-</t>
        </is>
      </c>
      <c r="NB21" t="inlineStr">
        <is>
          <t>-</t>
        </is>
      </c>
      <c r="NC21" t="inlineStr">
        <is>
          <t>-</t>
        </is>
      </c>
      <c r="ND21" t="n">
        <v>589</v>
      </c>
      <c r="NE21" t="n">
        <v>2658</v>
      </c>
      <c r="NF21" t="n">
        <v>15643</v>
      </c>
      <c r="NG21" t="inlineStr">
        <is>
          <t>-</t>
        </is>
      </c>
      <c r="NH21" t="inlineStr">
        <is>
          <t>-</t>
        </is>
      </c>
      <c r="NI21" t="inlineStr">
        <is>
          <t>-</t>
        </is>
      </c>
      <c r="NJ21" t="inlineStr">
        <is>
          <t>-</t>
        </is>
      </c>
      <c r="NK21" t="inlineStr">
        <is>
          <t>-</t>
        </is>
      </c>
      <c r="NL2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  <col width="3" customWidth="1" min="11" max="11"/>
    <col width="15" customWidth="1" min="12" max="12"/>
    <col width="15" customWidth="1" min="13" max="13"/>
    <col width="14" customWidth="1" min="14" max="14"/>
    <col width="15" customWidth="1" min="15" max="15"/>
    <col width="15" customWidth="1" min="16" max="16"/>
    <col width="14" customWidth="1" min="17" max="17"/>
    <col width="13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감자 재배면적·단수·총생산량 변화 분석 (전국, 2005~2024년)</t>
        </is>
      </c>
    </row>
    <row r="2">
      <c r="A2" t="inlineStr">
        <is>
          <t>자료: 국가데이터처 KOSIS 「농작물생산조사」 통계표 '서류생산량(생서)', 다운로드일 2026.10.10 / 수치는 'Raw data' 시트 전국 행(3행)을 수식으로 참조</t>
        </is>
      </c>
    </row>
    <row r="3">
      <c r="A3" t="inlineStr">
        <is>
          <t>※ 2025·2026년은 감자 합계가 '-'(일부 작형만 공표)로 표시되어 확정연도에서 제외</t>
        </is>
      </c>
    </row>
    <row r="4" ht="44" customHeight="1">
      <c r="A4" s="2" t="inlineStr">
        <is>
          <t>연도</t>
        </is>
      </c>
      <c r="B4" s="2" t="inlineStr">
        <is>
          <t>재배면적(ha)</t>
        </is>
      </c>
      <c r="C4" s="2" t="inlineStr">
        <is>
          <t>단수(kg/10a)</t>
        </is>
      </c>
      <c r="D4" s="2" t="inlineStr">
        <is>
          <t>총생산량(톤)</t>
        </is>
      </c>
      <c r="E4" s="2" t="inlineStr">
        <is>
          <t>재배면적 지수
(2005=100)</t>
        </is>
      </c>
      <c r="F4" s="2" t="inlineStr">
        <is>
          <t>단수 지수
(2005=100)</t>
        </is>
      </c>
      <c r="G4" s="2" t="inlineStr">
        <is>
          <t>생산량 지수
(2005=100)</t>
        </is>
      </c>
      <c r="H4" s="2" t="inlineStr">
        <is>
          <t>전년 대비
생산량 변화율(%)</t>
        </is>
      </c>
      <c r="I4" s="2" t="inlineStr">
        <is>
          <t>전년 대비
재배면적 변화율(%)</t>
        </is>
      </c>
      <c r="J4" s="2" t="inlineStr">
        <is>
          <t>전년 대비
단수 변화율(%)</t>
        </is>
      </c>
      <c r="L4" s="3" t="inlineStr">
        <is>
          <t>[참고] 일반봄감자
면적(ha)</t>
        </is>
      </c>
      <c r="M4" s="3" t="inlineStr">
        <is>
          <t>[참고] 고랭지감자
면적(ha)</t>
        </is>
      </c>
      <c r="N4" s="3" t="inlineStr">
        <is>
          <t>[참고] 가을감자
면적(ha)</t>
        </is>
      </c>
      <c r="O4" s="3" t="inlineStr">
        <is>
          <t>[참고] 일반봄감자
단수(kg/10a)</t>
        </is>
      </c>
      <c r="P4" s="3" t="inlineStr">
        <is>
          <t>[참고] 고랭지감자
단수(kg/10a)</t>
        </is>
      </c>
      <c r="Q4" s="3" t="inlineStr">
        <is>
          <t>[참고] 가을감자
단수(kg/10a)</t>
        </is>
      </c>
      <c r="R4" s="3" t="inlineStr">
        <is>
          <t>[참고] 제주
감자 면적(ha)</t>
        </is>
      </c>
      <c r="S4" s="3" t="inlineStr">
        <is>
          <t>[참고] 일반봄감자 면적
전년 대비(%)</t>
        </is>
      </c>
      <c r="T4" s="3" t="inlineStr">
        <is>
          <t>[참고] 고랭지감자 면적
전년 대비(%)</t>
        </is>
      </c>
      <c r="U4" s="3" t="inlineStr">
        <is>
          <t>[참고] 가을감자 면적
전년 대비(%)</t>
        </is>
      </c>
    </row>
    <row r="5">
      <c r="A5" s="4" t="n">
        <v>2005</v>
      </c>
      <c r="B5" s="5">
        <f>'Raw data'!H3</f>
        <v>32728</v>
      </c>
      <c r="C5" s="5">
        <f>'Raw data'!I3</f>
        <v>2732</v>
      </c>
      <c r="D5" s="5">
        <f>'Raw data'!J3</f>
        <v>894215</v>
      </c>
      <c r="E5" s="6">
        <f>IF(B5="","",B5/B$5*100)</f>
        <v>100</v>
      </c>
      <c r="F5" s="6">
        <f>IF(C5="","",C5/C$5*100)</f>
        <v>100</v>
      </c>
      <c r="G5" s="6">
        <f>IF(D5="","",D5/D$5*100)</f>
        <v>100</v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L5" s="5">
        <f>'Raw data'!K3</f>
        <v>20035</v>
      </c>
      <c r="M5" s="5">
        <f>'Raw data'!N3</f>
        <v>4385</v>
      </c>
      <c r="N5" s="5">
        <f>'Raw data'!Q3</f>
        <v>8308</v>
      </c>
      <c r="O5" s="5">
        <f>'Raw data'!L3</f>
        <v>2767</v>
      </c>
      <c r="P5" s="5">
        <f>'Raw data'!O3</f>
        <v>3517</v>
      </c>
      <c r="Q5" s="5">
        <f>'Raw data'!R3</f>
        <v>2233</v>
      </c>
      <c r="R5" s="5">
        <f>'Raw data'!H21</f>
        <v>6174</v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</row>
    <row r="6">
      <c r="A6" s="4" t="n">
        <v>2006</v>
      </c>
      <c r="B6" s="5">
        <f>'Raw data'!Y3</f>
        <v>23957</v>
      </c>
      <c r="C6" s="5">
        <f>'Raw data'!Z3</f>
        <v>2634</v>
      </c>
      <c r="D6" s="5">
        <f>'Raw data'!AA3</f>
        <v>631086</v>
      </c>
      <c r="E6" s="6">
        <f>IF(B6="","",B6/B$5*100)</f>
        <v>73.2003177707162</v>
      </c>
      <c r="F6" s="6">
        <f>IF(C6="","",C6/C$5*100)</f>
        <v>96.4128843338214</v>
      </c>
      <c r="G6" s="6">
        <f>IF(D6="","",D6/D$5*100)</f>
        <v>70.574302600605</v>
      </c>
      <c r="H6" s="6">
        <f>IF(OR(D6="",D5=""),"",(D6-D5)/D5*100)</f>
        <v>-29.425697399395</v>
      </c>
      <c r="I6" s="6">
        <f>IF(OR(B6="",B5=""),"",(B6-B5)/B5*100)</f>
        <v>-26.7996822292838</v>
      </c>
      <c r="J6" s="6">
        <f>IF(OR(C6="",C5=""),"",(C6-C5)/C5*100)</f>
        <v>-3.58711566617862</v>
      </c>
      <c r="L6" s="5">
        <f>'Raw data'!AB3</f>
        <v>14960</v>
      </c>
      <c r="M6" s="5">
        <f>'Raw data'!AE3</f>
        <v>3971</v>
      </c>
      <c r="N6" s="5">
        <f>'Raw data'!AH3</f>
        <v>5026</v>
      </c>
      <c r="O6" s="5">
        <f>'Raw data'!AC3</f>
        <v>2799</v>
      </c>
      <c r="P6" s="5">
        <f>'Raw data'!AF3</f>
        <v>2404</v>
      </c>
      <c r="Q6" s="5">
        <f>'Raw data'!AI3</f>
        <v>2328</v>
      </c>
      <c r="R6" s="5">
        <f>'Raw data'!Y21</f>
        <v>4167</v>
      </c>
      <c r="S6" s="6">
        <f>IF(OR(L6="",L5=""),"",(L6-L5)/L5*100)</f>
        <v>-25.3306713251809</v>
      </c>
      <c r="T6" s="6">
        <f>IF(OR(M6="",M5=""),"",(M6-M5)/M5*100)</f>
        <v>-9.44127708095781</v>
      </c>
      <c r="U6" s="6">
        <f>IF(OR(N6="",N5=""),"",(N6-N5)/N5*100)</f>
        <v>-39.5040924410207</v>
      </c>
    </row>
    <row r="7">
      <c r="A7" s="4" t="n">
        <v>2007</v>
      </c>
      <c r="B7" s="5">
        <f>'Raw data'!AP3</f>
        <v>20421</v>
      </c>
      <c r="C7" s="5">
        <f>'Raw data'!AQ3</f>
        <v>2813</v>
      </c>
      <c r="D7" s="5">
        <f>'Raw data'!AR3</f>
        <v>574396</v>
      </c>
      <c r="E7" s="6">
        <f>IF(B7="","",B7/B$5*100)</f>
        <v>62.3961134197018</v>
      </c>
      <c r="F7" s="6">
        <f>IF(C7="","",C7/C$5*100)</f>
        <v>102.96486090776</v>
      </c>
      <c r="G7" s="6">
        <f>IF(D7="","",D7/D$5*100)</f>
        <v>64.2346639231057</v>
      </c>
      <c r="H7" s="6">
        <f>IF(OR(D7="",D6=""),"",(D7-D6)/D6*100)</f>
        <v>-8.98292784184723</v>
      </c>
      <c r="I7" s="6">
        <f>IF(OR(B7="",B6=""),"",(B7-B6)/B6*100)</f>
        <v>-14.7597779354677</v>
      </c>
      <c r="J7" s="6">
        <f>IF(OR(C7="",C6=""),"",(C7-C6)/C6*100)</f>
        <v>6.79574791192103</v>
      </c>
      <c r="L7" s="5">
        <f>'Raw data'!AS3</f>
        <v>13033</v>
      </c>
      <c r="M7" s="5">
        <f>'Raw data'!AV3</f>
        <v>3202</v>
      </c>
      <c r="N7" s="5">
        <f>'Raw data'!AY3</f>
        <v>4186</v>
      </c>
      <c r="O7" s="5">
        <f>'Raw data'!AT3</f>
        <v>2818</v>
      </c>
      <c r="P7" s="5">
        <f>'Raw data'!AW3</f>
        <v>3516</v>
      </c>
      <c r="Q7" s="5">
        <f>'Raw data'!AZ3</f>
        <v>2259</v>
      </c>
      <c r="R7" s="5">
        <f>'Raw data'!AP21</f>
        <v>2717</v>
      </c>
      <c r="S7" s="6">
        <f>IF(OR(L7="",L6=""),"",(L7-L6)/L6*100)</f>
        <v>-12.8810160427807</v>
      </c>
      <c r="T7" s="6">
        <f>IF(OR(M7="",M6=""),"",(M7-M6)/M6*100)</f>
        <v>-19.3653991437925</v>
      </c>
      <c r="U7" s="6">
        <f>IF(OR(N7="",N6=""),"",(N7-N6)/N6*100)</f>
        <v>-16.7130919220056</v>
      </c>
    </row>
    <row r="8">
      <c r="A8" s="4" t="n">
        <v>2008</v>
      </c>
      <c r="B8" s="5">
        <f>'Raw data'!BG3</f>
        <v>20540</v>
      </c>
      <c r="C8" s="5">
        <f>'Raw data'!BH3</f>
        <v>2943</v>
      </c>
      <c r="D8" s="5">
        <f>'Raw data'!BI3</f>
        <v>604592</v>
      </c>
      <c r="E8" s="6">
        <f>IF(B8="","",B8/B$5*100)</f>
        <v>62.7597164507455</v>
      </c>
      <c r="F8" s="6">
        <f>IF(C8="","",C8/C$5*100)</f>
        <v>107.723279648609</v>
      </c>
      <c r="G8" s="6">
        <f>IF(D8="","",D8/D$5*100)</f>
        <v>67.6114804605157</v>
      </c>
      <c r="H8" s="6">
        <f>IF(OR(D8="",D7=""),"",(D8-D7)/D7*100)</f>
        <v>5.2570003969387</v>
      </c>
      <c r="I8" s="6">
        <f>IF(OR(B8="",B7=""),"",(B8-B7)/B7*100)</f>
        <v>0.582733460653249</v>
      </c>
      <c r="J8" s="6">
        <f>IF(OR(C8="",C7=""),"",(C8-C7)/C7*100)</f>
        <v>4.62140063988624</v>
      </c>
      <c r="L8" s="5">
        <f>'Raw data'!BJ3</f>
        <v>13048</v>
      </c>
      <c r="M8" s="5">
        <f>'Raw data'!BM3</f>
        <v>3364</v>
      </c>
      <c r="N8" s="5">
        <f>'Raw data'!BP3</f>
        <v>4128</v>
      </c>
      <c r="O8" s="5">
        <f>'Raw data'!BK3</f>
        <v>2930</v>
      </c>
      <c r="P8" s="5">
        <f>'Raw data'!BN3</f>
        <v>3650</v>
      </c>
      <c r="Q8" s="5">
        <f>'Raw data'!BQ3</f>
        <v>2409</v>
      </c>
      <c r="R8" s="5">
        <f>'Raw data'!BG21</f>
        <v>2663</v>
      </c>
      <c r="S8" s="6">
        <f>IF(OR(L8="",L7=""),"",(L8-L7)/L7*100)</f>
        <v>0.115092457607611</v>
      </c>
      <c r="T8" s="6">
        <f>IF(OR(M8="",M7=""),"",(M8-M7)/M7*100)</f>
        <v>5.05933791380387</v>
      </c>
      <c r="U8" s="6">
        <f>IF(OR(N8="",N7=""),"",(N8-N7)/N7*100)</f>
        <v>-1.38557095078834</v>
      </c>
    </row>
    <row r="9">
      <c r="A9" s="4" t="n">
        <v>2009</v>
      </c>
      <c r="B9" s="5">
        <f>'Raw data'!BX3</f>
        <v>21396</v>
      </c>
      <c r="C9" s="5">
        <f>'Raw data'!BY3</f>
        <v>2762</v>
      </c>
      <c r="D9" s="5">
        <f>'Raw data'!BZ3</f>
        <v>591053</v>
      </c>
      <c r="E9" s="6">
        <f>IF(B9="","",B9/B$5*100)</f>
        <v>65.3752138841359</v>
      </c>
      <c r="F9" s="6">
        <f>IF(C9="","",C9/C$5*100)</f>
        <v>101.098096632504</v>
      </c>
      <c r="G9" s="6">
        <f>IF(D9="","",D9/D$5*100)</f>
        <v>66.0974150511901</v>
      </c>
      <c r="H9" s="6">
        <f>IF(OR(D9="",D8=""),"",(D9-D8)/D8*100)</f>
        <v>-2.23936142059438</v>
      </c>
      <c r="I9" s="6">
        <f>IF(OR(B9="",B8=""),"",(B9-B8)/B8*100)</f>
        <v>4.16747809152872</v>
      </c>
      <c r="J9" s="6">
        <f>IF(OR(C9="",C8=""),"",(C9-C8)/C8*100)</f>
        <v>-6.15018688413184</v>
      </c>
      <c r="L9" s="5">
        <f>'Raw data'!CA3</f>
        <v>14198</v>
      </c>
      <c r="M9" s="5">
        <f>'Raw data'!CD3</f>
        <v>3322</v>
      </c>
      <c r="N9" s="5">
        <f>'Raw data'!CG3</f>
        <v>3876</v>
      </c>
      <c r="O9" s="5">
        <f>'Raw data'!CB3</f>
        <v>2778</v>
      </c>
      <c r="P9" s="5">
        <f>'Raw data'!CE3</f>
        <v>3487</v>
      </c>
      <c r="Q9" s="5">
        <f>'Raw data'!CH3</f>
        <v>2084</v>
      </c>
      <c r="R9" s="5">
        <f>'Raw data'!BX21</f>
        <v>2413</v>
      </c>
      <c r="S9" s="6">
        <f>IF(OR(L9="",L8=""),"",(L9-L8)/L8*100)</f>
        <v>8.81361128142244</v>
      </c>
      <c r="T9" s="6">
        <f>IF(OR(M9="",M8=""),"",(M9-M8)/M8*100)</f>
        <v>-1.24851367419738</v>
      </c>
      <c r="U9" s="6">
        <f>IF(OR(N9="",N8=""),"",(N9-N8)/N8*100)</f>
        <v>-6.1046511627907</v>
      </c>
    </row>
    <row r="10">
      <c r="A10" s="4" t="n">
        <v>2010</v>
      </c>
      <c r="B10" s="5">
        <f>'Raw data'!CO3</f>
        <v>24913</v>
      </c>
      <c r="C10" s="5">
        <f>'Raw data'!CP3</f>
        <v>2475</v>
      </c>
      <c r="D10" s="5">
        <f>'Raw data'!CQ3</f>
        <v>616707</v>
      </c>
      <c r="E10" s="6">
        <f>IF(B10="","",B10/B$5*100)</f>
        <v>76.1213639696896</v>
      </c>
      <c r="F10" s="6">
        <f>IF(C10="","",C10/C$5*100)</f>
        <v>90.592972181552</v>
      </c>
      <c r="G10" s="6">
        <f>IF(D10="","",D10/D$5*100)</f>
        <v>68.9663000508826</v>
      </c>
      <c r="H10" s="6">
        <f>IF(OR(D10="",D9=""),"",(D10-D9)/D9*100)</f>
        <v>4.34038910216174</v>
      </c>
      <c r="I10" s="6">
        <f>IF(OR(B10="",B9=""),"",(B10-B9)/B9*100)</f>
        <v>16.4376518975509</v>
      </c>
      <c r="J10" s="6">
        <f>IF(OR(C10="",C9=""),"",(C10-C9)/C9*100)</f>
        <v>-10.3910209992759</v>
      </c>
      <c r="L10" s="5">
        <f>'Raw data'!CR3</f>
        <v>16302</v>
      </c>
      <c r="M10" s="5">
        <f>'Raw data'!CU3</f>
        <v>3801</v>
      </c>
      <c r="N10" s="5">
        <f>'Raw data'!CX3</f>
        <v>4810</v>
      </c>
      <c r="O10" s="5">
        <f>'Raw data'!CS3</f>
        <v>2415</v>
      </c>
      <c r="P10" s="5">
        <f>'Raw data'!CV3</f>
        <v>3668</v>
      </c>
      <c r="Q10" s="5">
        <f>'Raw data'!CY3</f>
        <v>1739</v>
      </c>
      <c r="R10" s="5">
        <f>'Raw data'!CO21</f>
        <v>2766</v>
      </c>
      <c r="S10" s="6">
        <f>IF(OR(L10="",L9=""),"",(L10-L9)/L9*100)</f>
        <v>14.8189885899422</v>
      </c>
      <c r="T10" s="6">
        <f>IF(OR(M10="",M9=""),"",(M10-M9)/M9*100)</f>
        <v>14.4190246839253</v>
      </c>
      <c r="U10" s="6">
        <f>IF(OR(N10="",N9=""),"",(N10-N9)/N9*100)</f>
        <v>24.0970072239422</v>
      </c>
    </row>
    <row r="11">
      <c r="A11" s="4" t="n">
        <v>2011</v>
      </c>
      <c r="B11" s="5">
        <f>'Raw data'!DF3</f>
        <v>26804</v>
      </c>
      <c r="C11" s="5">
        <f>'Raw data'!DG3</f>
        <v>2321</v>
      </c>
      <c r="D11" s="5">
        <f>'Raw data'!DH3</f>
        <v>622202</v>
      </c>
      <c r="E11" s="6">
        <f>IF(B11="","",B11/B$5*100)</f>
        <v>81.8992911268638</v>
      </c>
      <c r="F11" s="6">
        <f>IF(C11="","",C11/C$5*100)</f>
        <v>84.9560761346999</v>
      </c>
      <c r="G11" s="6">
        <f>IF(D11="","",D11/D$5*100)</f>
        <v>69.5808055109789</v>
      </c>
      <c r="H11" s="6">
        <f>IF(OR(D11="",D10=""),"",(D11-D10)/D10*100)</f>
        <v>0.891022803373401</v>
      </c>
      <c r="I11" s="6">
        <f>IF(OR(B11="",B10=""),"",(B11-B10)/B10*100)</f>
        <v>7.59041464295749</v>
      </c>
      <c r="J11" s="6">
        <f>IF(OR(C11="",C10=""),"",(C11-C10)/C10*100)</f>
        <v>-6.22222222222222</v>
      </c>
      <c r="L11" s="5">
        <f>'Raw data'!DI3</f>
        <v>19126</v>
      </c>
      <c r="M11" s="5">
        <f>'Raw data'!DL3</f>
        <v>3784</v>
      </c>
      <c r="N11" s="5">
        <f>'Raw data'!DO3</f>
        <v>3894</v>
      </c>
      <c r="O11" s="5">
        <f>'Raw data'!DJ3</f>
        <v>2392</v>
      </c>
      <c r="P11" s="5">
        <f>'Raw data'!DM3</f>
        <v>2509</v>
      </c>
      <c r="Q11" s="5">
        <f>'Raw data'!DP3</f>
        <v>1789</v>
      </c>
      <c r="R11" s="5">
        <f>'Raw data'!DF21</f>
        <v>2814</v>
      </c>
      <c r="S11" s="6">
        <f>IF(OR(L11="",L10=""),"",(L11-L10)/L10*100)</f>
        <v>17.3230278493436</v>
      </c>
      <c r="T11" s="6">
        <f>IF(OR(M11="",M10=""),"",(M11-M10)/M10*100)</f>
        <v>-0.447250723493817</v>
      </c>
      <c r="U11" s="6">
        <f>IF(OR(N11="",N10=""),"",(N11-N10)/N10*100)</f>
        <v>-19.043659043659</v>
      </c>
    </row>
    <row r="12">
      <c r="A12" s="4" t="n">
        <v>2012</v>
      </c>
      <c r="B12" s="5">
        <f>'Raw data'!DW3</f>
        <v>24930</v>
      </c>
      <c r="C12" s="5">
        <f>'Raw data'!DX3</f>
        <v>2437</v>
      </c>
      <c r="D12" s="5">
        <f>'Raw data'!DY3</f>
        <v>607534</v>
      </c>
      <c r="E12" s="6">
        <f>IF(B12="","",B12/B$5*100)</f>
        <v>76.1733072598387</v>
      </c>
      <c r="F12" s="6">
        <f>IF(C12="","",C12/C$5*100)</f>
        <v>89.2020497803807</v>
      </c>
      <c r="G12" s="6">
        <f>IF(D12="","",D12/D$5*100)</f>
        <v>67.9404841117628</v>
      </c>
      <c r="H12" s="6">
        <f>IF(OR(D12="",D11=""),"",(D12-D11)/D11*100)</f>
        <v>-2.35743375945433</v>
      </c>
      <c r="I12" s="6">
        <f>IF(OR(B12="",B11=""),"",(B12-B11)/B11*100)</f>
        <v>-6.99149380689449</v>
      </c>
      <c r="J12" s="6">
        <f>IF(OR(C12="",C11=""),"",(C12-C11)/C11*100)</f>
        <v>4.99784575613959</v>
      </c>
      <c r="L12" s="5">
        <f>'Raw data'!DZ3</f>
        <v>17424</v>
      </c>
      <c r="M12" s="5">
        <f>'Raw data'!EC3</f>
        <v>3793</v>
      </c>
      <c r="N12" s="5">
        <f>'Raw data'!EF3</f>
        <v>3713</v>
      </c>
      <c r="O12" s="5">
        <f>'Raw data'!EA3</f>
        <v>2396</v>
      </c>
      <c r="P12" s="5">
        <f>'Raw data'!ED3</f>
        <v>3332</v>
      </c>
      <c r="Q12" s="5">
        <f>'Raw data'!EG3</f>
        <v>1716</v>
      </c>
      <c r="R12" s="5">
        <f>'Raw data'!DW21</f>
        <v>2574</v>
      </c>
      <c r="S12" s="6">
        <f>IF(OR(L12="",L11=""),"",(L12-L11)/L11*100)</f>
        <v>-8.89888110425599</v>
      </c>
      <c r="T12" s="6">
        <f>IF(OR(M12="",M11=""),"",(M12-M11)/M11*100)</f>
        <v>0.23784355179704</v>
      </c>
      <c r="U12" s="6">
        <f>IF(OR(N12="",N11=""),"",(N12-N11)/N11*100)</f>
        <v>-4.64817668207499</v>
      </c>
    </row>
    <row r="13">
      <c r="A13" s="4" t="n">
        <v>2013</v>
      </c>
      <c r="B13" s="5">
        <f>'Raw data'!EN3</f>
        <v>27430</v>
      </c>
      <c r="C13" s="5">
        <f>'Raw data'!EO3</f>
        <v>2652</v>
      </c>
      <c r="D13" s="5">
        <f>'Raw data'!EP3</f>
        <v>727438</v>
      </c>
      <c r="E13" s="6">
        <f>IF(B13="","",B13/B$5*100)</f>
        <v>83.8120263994133</v>
      </c>
      <c r="F13" s="6">
        <f>IF(C13="","",C13/C$5*100)</f>
        <v>97.0717423133236</v>
      </c>
      <c r="G13" s="6">
        <f>IF(D13="","",D13/D$5*100)</f>
        <v>81.3493399238438</v>
      </c>
      <c r="H13" s="6">
        <f>IF(OR(D13="",D12=""),"",(D13-D12)/D12*100)</f>
        <v>19.7361793743231</v>
      </c>
      <c r="I13" s="6">
        <f>IF(OR(B13="",B12=""),"",(B13-B12)/B12*100)</f>
        <v>10.0280786201364</v>
      </c>
      <c r="J13" s="6">
        <f>IF(OR(C13="",C12=""),"",(C13-C12)/C12*100)</f>
        <v>8.82232252769799</v>
      </c>
      <c r="L13" s="5">
        <f>'Raw data'!EQ3</f>
        <v>20977</v>
      </c>
      <c r="M13" s="5">
        <f>'Raw data'!ET3</f>
        <v>3751</v>
      </c>
      <c r="N13" s="5">
        <f>'Raw data'!EW3</f>
        <v>2702</v>
      </c>
      <c r="O13" s="5">
        <f>'Raw data'!ER3</f>
        <v>2722</v>
      </c>
      <c r="P13" s="5">
        <f>'Raw data'!EU3</f>
        <v>2963</v>
      </c>
      <c r="Q13" s="5">
        <f>'Raw data'!EX3</f>
        <v>1676</v>
      </c>
      <c r="R13" s="5">
        <f>'Raw data'!EN21</f>
        <v>1797</v>
      </c>
      <c r="S13" s="6">
        <f>IF(OR(L13="",L12=""),"",(L13-L12)/L12*100)</f>
        <v>20.3914141414141</v>
      </c>
      <c r="T13" s="6">
        <f>IF(OR(M13="",M12=""),"",(M13-M12)/M12*100)</f>
        <v>-1.10730292644345</v>
      </c>
      <c r="U13" s="6">
        <f>IF(OR(N13="",N12=""),"",(N13-N12)/N12*100)</f>
        <v>-27.2286560732561</v>
      </c>
    </row>
    <row r="14">
      <c r="A14" s="4" t="n">
        <v>2014</v>
      </c>
      <c r="B14" s="5">
        <f>'Raw data'!FE3</f>
        <v>21472</v>
      </c>
      <c r="C14" s="5">
        <f>'Raw data'!FF3</f>
        <v>2750</v>
      </c>
      <c r="D14" s="5">
        <f>'Raw data'!FG3</f>
        <v>590532</v>
      </c>
      <c r="E14" s="6">
        <f>IF(B14="","",B14/B$5*100)</f>
        <v>65.607430945979</v>
      </c>
      <c r="F14" s="6">
        <f>IF(C14="","",C14/C$5*100)</f>
        <v>100.658857979502</v>
      </c>
      <c r="G14" s="6">
        <f>IF(D14="","",D14/D$5*100)</f>
        <v>66.0391516581583</v>
      </c>
      <c r="H14" s="6">
        <f>IF(OR(D14="",D13=""),"",(D14-D13)/D13*100)</f>
        <v>-18.8202980872597</v>
      </c>
      <c r="I14" s="6">
        <f>IF(OR(B14="",B13=""),"",(B14-B13)/B13*100)</f>
        <v>-21.720743711265</v>
      </c>
      <c r="J14" s="6">
        <f>IF(OR(C14="",C13=""),"",(C14-C13)/C13*100)</f>
        <v>3.69532428355958</v>
      </c>
      <c r="L14" s="5">
        <f>'Raw data'!FH3</f>
        <v>15596</v>
      </c>
      <c r="M14" s="5">
        <f>'Raw data'!FK3</f>
        <v>2975</v>
      </c>
      <c r="N14" s="5">
        <f>'Raw data'!FN3</f>
        <v>2901</v>
      </c>
      <c r="O14" s="5">
        <f>'Raw data'!FI3</f>
        <v>2772</v>
      </c>
      <c r="P14" s="5">
        <f>'Raw data'!FL3</f>
        <v>3647</v>
      </c>
      <c r="Q14" s="5">
        <f>'Raw data'!FO3</f>
        <v>1713</v>
      </c>
      <c r="R14" s="5">
        <f>'Raw data'!FE21</f>
        <v>1382</v>
      </c>
      <c r="S14" s="6">
        <f>IF(OR(L14="",L13=""),"",(L14-L13)/L13*100)</f>
        <v>-25.651904466797</v>
      </c>
      <c r="T14" s="6">
        <f>IF(OR(M14="",M13=""),"",(M14-M13)/M13*100)</f>
        <v>-20.6878165822447</v>
      </c>
      <c r="U14" s="6">
        <f>IF(OR(N14="",N13=""),"",(N14-N13)/N13*100)</f>
        <v>7.36491487786825</v>
      </c>
    </row>
    <row r="15">
      <c r="A15" s="4" t="n">
        <v>2015</v>
      </c>
      <c r="B15" s="5">
        <f>'Raw data'!FV3</f>
        <v>20234</v>
      </c>
      <c r="C15" s="5">
        <f>'Raw data'!FW3</f>
        <v>2658</v>
      </c>
      <c r="D15" s="5">
        <f>'Raw data'!FX3</f>
        <v>537738</v>
      </c>
      <c r="E15" s="6">
        <f>IF(B15="","",B15/B$5*100)</f>
        <v>61.8247372280616</v>
      </c>
      <c r="F15" s="6">
        <f>IF(C15="","",C15/C$5*100)</f>
        <v>97.2913616398243</v>
      </c>
      <c r="G15" s="6">
        <f>IF(D15="","",D15/D$5*100)</f>
        <v>60.1352023842141</v>
      </c>
      <c r="H15" s="6">
        <f>IF(OR(D15="",D14=""),"",(D15-D14)/D14*100)</f>
        <v>-8.94007437361566</v>
      </c>
      <c r="I15" s="6">
        <f>IF(OR(B15="",B14=""),"",(B15-B14)/B14*100)</f>
        <v>-5.76564828614009</v>
      </c>
      <c r="J15" s="6">
        <f>IF(OR(C15="",C14=""),"",(C15-C14)/C14*100)</f>
        <v>-3.34545454545455</v>
      </c>
      <c r="L15" s="5">
        <f>'Raw data'!FY3</f>
        <v>14545</v>
      </c>
      <c r="M15" s="5">
        <f>'Raw data'!GB3</f>
        <v>3403</v>
      </c>
      <c r="N15" s="5">
        <f>'Raw data'!GE3</f>
        <v>2286</v>
      </c>
      <c r="O15" s="5">
        <f>'Raw data'!FZ3</f>
        <v>2526</v>
      </c>
      <c r="P15" s="5">
        <f>'Raw data'!GC3</f>
        <v>3875</v>
      </c>
      <c r="Q15" s="5">
        <f>'Raw data'!GF3</f>
        <v>1685</v>
      </c>
      <c r="R15" s="5">
        <f>'Raw data'!FV21</f>
        <v>1129</v>
      </c>
      <c r="S15" s="6">
        <f>IF(OR(L15="",L14=""),"",(L15-L14)/L14*100)</f>
        <v>-6.73890741215696</v>
      </c>
      <c r="T15" s="6">
        <f>IF(OR(M15="",M14=""),"",(M15-M14)/M14*100)</f>
        <v>14.3865546218487</v>
      </c>
      <c r="U15" s="6">
        <f>IF(OR(N15="",N14=""),"",(N15-N14)/N14*100)</f>
        <v>-21.1995863495346</v>
      </c>
    </row>
    <row r="16">
      <c r="A16" s="4" t="n">
        <v>2016</v>
      </c>
      <c r="B16" s="5">
        <f>'Raw data'!GM3</f>
        <v>22000</v>
      </c>
      <c r="C16" s="5">
        <f>'Raw data'!GN3</f>
        <v>2526</v>
      </c>
      <c r="D16" s="5">
        <f>'Raw data'!GO3</f>
        <v>555670</v>
      </c>
      <c r="E16" s="6">
        <f>IF(B16="","",B16/B$5*100)</f>
        <v>67.2207284282572</v>
      </c>
      <c r="F16" s="6">
        <f>IF(C16="","",C16/C$5*100)</f>
        <v>92.4597364568082</v>
      </c>
      <c r="G16" s="6">
        <f>IF(D16="","",D16/D$5*100)</f>
        <v>62.1405366718295</v>
      </c>
      <c r="H16" s="6">
        <f>IF(OR(D16="",D15=""),"",(D16-D15)/D15*100)</f>
        <v>3.33470946817967</v>
      </c>
      <c r="I16" s="6">
        <f>IF(OR(B16="",B15=""),"",(B16-B15)/B15*100)</f>
        <v>8.72788376000791</v>
      </c>
      <c r="J16" s="6">
        <f>IF(OR(C16="",C15=""),"",(C16-C15)/C15*100)</f>
        <v>-4.96613995485327</v>
      </c>
      <c r="L16" s="5">
        <f>'Raw data'!GP3</f>
        <v>15259</v>
      </c>
      <c r="M16" s="5">
        <f>'Raw data'!GS3</f>
        <v>3579</v>
      </c>
      <c r="N16" s="5">
        <f>'Raw data'!GV3</f>
        <v>3162</v>
      </c>
      <c r="O16" s="5">
        <f>'Raw data'!GQ3</f>
        <v>2580</v>
      </c>
      <c r="P16" s="5">
        <f>'Raw data'!GT3</f>
        <v>3407</v>
      </c>
      <c r="Q16" s="5">
        <f>'Raw data'!GW3</f>
        <v>1267</v>
      </c>
      <c r="R16" s="5">
        <f>'Raw data'!GM21</f>
        <v>1781</v>
      </c>
      <c r="S16" s="6">
        <f>IF(OR(L16="",L15=""),"",(L16-L15)/L15*100)</f>
        <v>4.90890340323135</v>
      </c>
      <c r="T16" s="6">
        <f>IF(OR(M16="",M15=""),"",(M16-M15)/M15*100)</f>
        <v>5.17190714075815</v>
      </c>
      <c r="U16" s="6">
        <f>IF(OR(N16="",N15=""),"",(N16-N15)/N15*100)</f>
        <v>38.3202099737533</v>
      </c>
    </row>
    <row r="17">
      <c r="A17" s="4" t="n">
        <v>2017</v>
      </c>
      <c r="B17" s="5">
        <f>'Raw data'!HD3</f>
        <v>20974</v>
      </c>
      <c r="C17" s="5">
        <f>'Raw data'!HE3</f>
        <v>2225</v>
      </c>
      <c r="D17" s="5">
        <f>'Raw data'!HF3</f>
        <v>466755</v>
      </c>
      <c r="E17" s="6">
        <f>IF(B17="","",B17/B$5*100)</f>
        <v>64.0857980933757</v>
      </c>
      <c r="F17" s="6">
        <f>IF(C17="","",C17/C$5*100)</f>
        <v>81.4421669106881</v>
      </c>
      <c r="G17" s="6">
        <f>IF(D17="","",D17/D$5*100)</f>
        <v>52.1971785308902</v>
      </c>
      <c r="H17" s="6">
        <f>IF(OR(D17="",D16=""),"",(D17-D16)/D16*100)</f>
        <v>-16.0014037108356</v>
      </c>
      <c r="I17" s="6">
        <f>IF(OR(B17="",B16=""),"",(B17-B16)/B16*100)</f>
        <v>-4.66363636363636</v>
      </c>
      <c r="J17" s="6">
        <f>IF(OR(C17="",C16=""),"",(C17-C16)/C16*100)</f>
        <v>-11.9160728424386</v>
      </c>
      <c r="L17" s="5">
        <f>'Raw data'!HG3</f>
        <v>14943</v>
      </c>
      <c r="M17" s="5">
        <f>'Raw data'!HJ3</f>
        <v>3244</v>
      </c>
      <c r="N17" s="5">
        <f>'Raw data'!HM3</f>
        <v>2787</v>
      </c>
      <c r="O17" s="5">
        <f>'Raw data'!HH3</f>
        <v>2152</v>
      </c>
      <c r="P17" s="5">
        <f>'Raw data'!HK3</f>
        <v>3048</v>
      </c>
      <c r="Q17" s="5">
        <f>'Raw data'!HN3</f>
        <v>1663</v>
      </c>
      <c r="R17" s="5">
        <f>'Raw data'!HD21</f>
        <v>1571</v>
      </c>
      <c r="S17" s="6">
        <f>IF(OR(L17="",L16=""),"",(L17-L16)/L16*100)</f>
        <v>-2.07090897175437</v>
      </c>
      <c r="T17" s="6">
        <f>IF(OR(M17="",M16=""),"",(M17-M16)/M16*100)</f>
        <v>-9.36015646828723</v>
      </c>
      <c r="U17" s="6">
        <f>IF(OR(N17="",N16=""),"",(N17-N16)/N16*100)</f>
        <v>-11.8595825426945</v>
      </c>
    </row>
    <row r="18">
      <c r="A18" s="4" t="n">
        <v>2018</v>
      </c>
      <c r="B18" s="5">
        <f>'Raw data'!HU3</f>
        <v>23402</v>
      </c>
      <c r="C18" s="5">
        <f>'Raw data'!HV3</f>
        <v>2342</v>
      </c>
      <c r="D18" s="5">
        <f>'Raw data'!HW3</f>
        <v>548065</v>
      </c>
      <c r="E18" s="6">
        <f>IF(B18="","",B18/B$5*100)</f>
        <v>71.5045221217306</v>
      </c>
      <c r="F18" s="6">
        <f>IF(C18="","",C18/C$5*100)</f>
        <v>85.7247437774524</v>
      </c>
      <c r="G18" s="6">
        <f>IF(D18="","",D18/D$5*100)</f>
        <v>61.2900700614505</v>
      </c>
      <c r="H18" s="6">
        <f>IF(OR(D18="",D17=""),"",(D18-D17)/D17*100)</f>
        <v>17.4202740195606</v>
      </c>
      <c r="I18" s="6">
        <f>IF(OR(B18="",B17=""),"",(B18-B17)/B17*100)</f>
        <v>11.5762372461142</v>
      </c>
      <c r="J18" s="6">
        <f>IF(OR(C18="",C17=""),"",(C18-C17)/C17*100)</f>
        <v>5.25842696629213</v>
      </c>
      <c r="L18" s="5">
        <f>'Raw data'!HX3</f>
        <v>15819</v>
      </c>
      <c r="M18" s="5">
        <f>'Raw data'!IA3</f>
        <v>3462</v>
      </c>
      <c r="N18" s="5">
        <f>'Raw data'!ID3</f>
        <v>4121</v>
      </c>
      <c r="O18" s="5">
        <f>'Raw data'!HY3</f>
        <v>2435</v>
      </c>
      <c r="P18" s="5">
        <f>'Raw data'!IB3</f>
        <v>2652</v>
      </c>
      <c r="Q18" s="5">
        <f>'Raw data'!IE3</f>
        <v>1723</v>
      </c>
      <c r="R18" s="5">
        <f>'Raw data'!HU21</f>
        <v>2104</v>
      </c>
      <c r="S18" s="6">
        <f>IF(OR(L18="",L17=""),"",(L18-L17)/L17*100)</f>
        <v>5.86227665127484</v>
      </c>
      <c r="T18" s="6">
        <f>IF(OR(M18="",M17=""),"",(M18-M17)/M17*100)</f>
        <v>6.72009864364981</v>
      </c>
      <c r="U18" s="6">
        <f>IF(OR(N18="",N17=""),"",(N18-N17)/N17*100)</f>
        <v>47.865087908145</v>
      </c>
    </row>
    <row r="19">
      <c r="A19" s="4" t="n">
        <v>2019</v>
      </c>
      <c r="B19" s="5">
        <f>'Raw data'!IL3</f>
        <v>26829</v>
      </c>
      <c r="C19" s="5">
        <f>'Raw data'!IM3</f>
        <v>2573</v>
      </c>
      <c r="D19" s="5">
        <f>'Raw data'!IN3</f>
        <v>690419</v>
      </c>
      <c r="E19" s="6">
        <f>IF(B19="","",B19/B$5*100)</f>
        <v>81.9756783182596</v>
      </c>
      <c r="F19" s="6">
        <f>IF(C19="","",C19/C$5*100)</f>
        <v>94.1800878477306</v>
      </c>
      <c r="G19" s="6">
        <f>IF(D19="","",D19/D$5*100)</f>
        <v>77.2095077805673</v>
      </c>
      <c r="H19" s="6">
        <f>IF(OR(D19="",D18=""),"",(D19-D18)/D18*100)</f>
        <v>25.9739264503298</v>
      </c>
      <c r="I19" s="6">
        <f>IF(OR(B19="",B18=""),"",(B19-B18)/B18*100)</f>
        <v>14.6440475173062</v>
      </c>
      <c r="J19" s="6">
        <f>IF(OR(C19="",C18=""),"",(C19-C18)/C18*100)</f>
        <v>9.86336464560205</v>
      </c>
      <c r="L19" s="5">
        <f>'Raw data'!IO3</f>
        <v>18150</v>
      </c>
      <c r="M19" s="5">
        <f>'Raw data'!IR3</f>
        <v>3844</v>
      </c>
      <c r="N19" s="5">
        <f>'Raw data'!IU3</f>
        <v>4835</v>
      </c>
      <c r="O19" s="5">
        <f>'Raw data'!IP3</f>
        <v>2567</v>
      </c>
      <c r="P19" s="5">
        <f>'Raw data'!IS3</f>
        <v>3634</v>
      </c>
      <c r="Q19" s="5">
        <f>'Raw data'!IV3</f>
        <v>1754</v>
      </c>
      <c r="R19" s="5">
        <f>'Raw data'!IL21</f>
        <v>1653</v>
      </c>
      <c r="S19" s="6">
        <f>IF(OR(L19="",L18=""),"",(L19-L18)/L18*100)</f>
        <v>14.7354447183766</v>
      </c>
      <c r="T19" s="6">
        <f>IF(OR(M19="",M18=""),"",(M19-M18)/M18*100)</f>
        <v>11.0340843443096</v>
      </c>
      <c r="U19" s="6">
        <f>IF(OR(N19="",N18=""),"",(N19-N18)/N18*100)</f>
        <v>17.3258917738413</v>
      </c>
    </row>
    <row r="20">
      <c r="A20" s="4" t="n">
        <v>2020</v>
      </c>
      <c r="B20" s="5">
        <f>'Raw data'!JC3</f>
        <v>23599</v>
      </c>
      <c r="C20" s="5">
        <f>'Raw data'!JD3</f>
        <v>2344</v>
      </c>
      <c r="D20" s="5">
        <f>'Raw data'!JE3</f>
        <v>553194</v>
      </c>
      <c r="E20" s="6">
        <f>IF(B20="","",B20/B$5*100)</f>
        <v>72.1064531899291</v>
      </c>
      <c r="F20" s="6">
        <f>IF(C20="","",C20/C$5*100)</f>
        <v>85.7979502196193</v>
      </c>
      <c r="G20" s="6">
        <f>IF(D20="","",D20/D$5*100)</f>
        <v>61.8636457675168</v>
      </c>
      <c r="H20" s="6">
        <f>IF(OR(D20="",D19=""),"",(D20-D19)/D19*100)</f>
        <v>-19.8756117661884</v>
      </c>
      <c r="I20" s="6">
        <f>IF(OR(B20="",B19=""),"",(B20-B19)/B19*100)</f>
        <v>-12.0392113012039</v>
      </c>
      <c r="J20" s="6">
        <f>IF(OR(C20="",C19=""),"",(C20-C19)/C19*100)</f>
        <v>-8.90011659541391</v>
      </c>
      <c r="L20" s="5">
        <f>'Raw data'!JF3</f>
        <v>16339</v>
      </c>
      <c r="M20" s="5">
        <f>'Raw data'!JI3</f>
        <v>3390</v>
      </c>
      <c r="N20" s="5">
        <f>'Raw data'!JL3</f>
        <v>3870</v>
      </c>
      <c r="O20" s="5">
        <f>'Raw data'!JG3</f>
        <v>2303</v>
      </c>
      <c r="P20" s="5">
        <f>'Raw data'!JJ3</f>
        <v>3524</v>
      </c>
      <c r="Q20" s="5">
        <f>'Raw data'!JM3</f>
        <v>1483</v>
      </c>
      <c r="R20" s="5">
        <f>'Raw data'!JC21</f>
        <v>1565</v>
      </c>
      <c r="S20" s="6">
        <f>IF(OR(L20="",L19=""),"",(L20-L19)/L19*100)</f>
        <v>-9.97796143250689</v>
      </c>
      <c r="T20" s="6">
        <f>IF(OR(M20="",M19=""),"",(M20-M19)/M19*100)</f>
        <v>-11.8106139438085</v>
      </c>
      <c r="U20" s="6">
        <f>IF(OR(N20="",N19=""),"",(N20-N19)/N19*100)</f>
        <v>-19.9586349534643</v>
      </c>
    </row>
    <row r="21">
      <c r="A21" s="4" t="n">
        <v>2021</v>
      </c>
      <c r="B21" s="5">
        <f>'Raw data'!JT3</f>
        <v>21745</v>
      </c>
      <c r="C21" s="5">
        <f>'Raw data'!JU3</f>
        <v>2552</v>
      </c>
      <c r="D21" s="5">
        <f>'Raw data'!JV3</f>
        <v>554893</v>
      </c>
      <c r="E21" s="6">
        <f>IF(B21="","",B21/B$5*100)</f>
        <v>66.4415790760205</v>
      </c>
      <c r="F21" s="6">
        <f>IF(C21="","",C21/C$5*100)</f>
        <v>93.411420204978</v>
      </c>
      <c r="G21" s="6">
        <f>IF(D21="","",D21/D$5*100)</f>
        <v>62.0536448169624</v>
      </c>
      <c r="H21" s="6">
        <f>IF(OR(D21="",D20=""),"",(D21-D20)/D20*100)</f>
        <v>0.307125529199521</v>
      </c>
      <c r="I21" s="6">
        <f>IF(OR(B21="",B20=""),"",(B21-B20)/B20*100)</f>
        <v>-7.85626509597864</v>
      </c>
      <c r="J21" s="6">
        <f>IF(OR(C21="",C20=""),"",(C21-C20)/C20*100)</f>
        <v>8.87372013651877</v>
      </c>
      <c r="L21" s="5">
        <f>'Raw data'!JW3</f>
        <v>14266</v>
      </c>
      <c r="M21" s="5">
        <f>'Raw data'!JZ3</f>
        <v>3888</v>
      </c>
      <c r="N21" s="5">
        <f>'Raw data'!KC3</f>
        <v>3591</v>
      </c>
      <c r="O21" s="5">
        <f>'Raw data'!JX3</f>
        <v>2661</v>
      </c>
      <c r="P21" s="5">
        <f>'Raw data'!KA3</f>
        <v>3037</v>
      </c>
      <c r="Q21" s="5">
        <f>'Raw data'!KD3</f>
        <v>1591</v>
      </c>
      <c r="R21" s="5">
        <f>'Raw data'!JT21</f>
        <v>1732</v>
      </c>
      <c r="S21" s="6">
        <f>IF(OR(L21="",L20=""),"",(L21-L20)/L20*100)</f>
        <v>-12.6874349715405</v>
      </c>
      <c r="T21" s="6">
        <f>IF(OR(M21="",M20=""),"",(M21-M20)/M20*100)</f>
        <v>14.6902654867257</v>
      </c>
      <c r="U21" s="6">
        <f>IF(OR(N21="",N20=""),"",(N21-N20)/N20*100)</f>
        <v>-7.2093023255814</v>
      </c>
    </row>
    <row r="22">
      <c r="A22" s="4" t="n">
        <v>2022</v>
      </c>
      <c r="B22" s="5">
        <f>'Raw data'!KK3</f>
        <v>20088</v>
      </c>
      <c r="C22" s="5">
        <f>'Raw data'!KL3</f>
        <v>2392</v>
      </c>
      <c r="D22" s="5">
        <f>'Raw data'!KM3</f>
        <v>480601</v>
      </c>
      <c r="E22" s="6">
        <f>IF(B22="","",B22/B$5*100)</f>
        <v>61.3786360303104</v>
      </c>
      <c r="F22" s="6">
        <f>IF(C22="","",C22/C$5*100)</f>
        <v>87.5549048316252</v>
      </c>
      <c r="G22" s="6">
        <f>IF(D22="","",D22/D$5*100)</f>
        <v>53.7455757284322</v>
      </c>
      <c r="H22" s="6">
        <f>IF(OR(D22="",D21=""),"",(D22-D21)/D21*100)</f>
        <v>-13.388527157488</v>
      </c>
      <c r="I22" s="6">
        <f>IF(OR(B22="",B21=""),"",(B22-B21)/B21*100)</f>
        <v>-7.62014256150839</v>
      </c>
      <c r="J22" s="6">
        <f>IF(OR(C22="",C21=""),"",(C22-C21)/C21*100)</f>
        <v>-6.26959247648903</v>
      </c>
      <c r="L22" s="5">
        <f>'Raw data'!KN3</f>
        <v>13017</v>
      </c>
      <c r="M22" s="5">
        <f>'Raw data'!KQ3</f>
        <v>3495</v>
      </c>
      <c r="N22" s="5">
        <f>'Raw data'!KT3</f>
        <v>3576</v>
      </c>
      <c r="O22" s="5">
        <f>'Raw data'!KO3</f>
        <v>2329</v>
      </c>
      <c r="P22" s="5">
        <f>'Raw data'!KR3</f>
        <v>3562</v>
      </c>
      <c r="Q22" s="5">
        <f>'Raw data'!KU3</f>
        <v>1479</v>
      </c>
      <c r="R22" s="5">
        <f>'Raw data'!KK21</f>
        <v>1759</v>
      </c>
      <c r="S22" s="6">
        <f>IF(OR(L22="",L21=""),"",(L22-L21)/L21*100)</f>
        <v>-8.75508201317819</v>
      </c>
      <c r="T22" s="6">
        <f>IF(OR(M22="",M21=""),"",(M22-M21)/M21*100)</f>
        <v>-10.108024691358</v>
      </c>
      <c r="U22" s="6">
        <f>IF(OR(N22="",N21=""),"",(N22-N21)/N21*100)</f>
        <v>-0.417710944026734</v>
      </c>
    </row>
    <row r="23">
      <c r="A23" s="4" t="n">
        <v>2023</v>
      </c>
      <c r="B23" s="5">
        <f>'Raw data'!LB3</f>
        <v>22525</v>
      </c>
      <c r="C23" s="5">
        <f>'Raw data'!LC3</f>
        <v>2443</v>
      </c>
      <c r="D23" s="5">
        <f>'Raw data'!LD3</f>
        <v>550293</v>
      </c>
      <c r="E23" s="6">
        <f>IF(B23="","",B23/B$5*100)</f>
        <v>68.8248594475678</v>
      </c>
      <c r="F23" s="6">
        <f>IF(C23="","",C23/C$5*100)</f>
        <v>89.4216691068814</v>
      </c>
      <c r="G23" s="6">
        <f>IF(D23="","",D23/D$5*100)</f>
        <v>61.5392271433604</v>
      </c>
      <c r="H23" s="6">
        <f>IF(OR(D23="",D22=""),"",(D23-D22)/D22*100)</f>
        <v>14.5010101934869</v>
      </c>
      <c r="I23" s="6">
        <f>IF(OR(B23="",B22=""),"",(B23-B22)/B22*100)</f>
        <v>12.13162086818</v>
      </c>
      <c r="J23" s="6">
        <f>IF(OR(C23="",C22=""),"",(C23-C22)/C22*100)</f>
        <v>2.13210702341137</v>
      </c>
      <c r="L23" s="5">
        <f>'Raw data'!LE3</f>
        <v>14699</v>
      </c>
      <c r="M23" s="5">
        <f>'Raw data'!LH3</f>
        <v>3835</v>
      </c>
      <c r="N23" s="5">
        <f>'Raw data'!LK3</f>
        <v>3992</v>
      </c>
      <c r="O23" s="5">
        <f>'Raw data'!LF3</f>
        <v>2436</v>
      </c>
      <c r="P23" s="5">
        <f>'Raw data'!LI3</f>
        <v>3304</v>
      </c>
      <c r="Q23" s="5">
        <f>'Raw data'!LL3</f>
        <v>1643</v>
      </c>
      <c r="R23" s="5">
        <f>'Raw data'!LB21</f>
        <v>1238</v>
      </c>
      <c r="S23" s="6">
        <f>IF(OR(L23="",L22=""),"",(L23-L22)/L22*100)</f>
        <v>12.9215641084735</v>
      </c>
      <c r="T23" s="6">
        <f>IF(OR(M23="",M22=""),"",(M23-M22)/M22*100)</f>
        <v>9.72818311874106</v>
      </c>
      <c r="U23" s="6">
        <f>IF(OR(N23="",N22=""),"",(N23-N22)/N22*100)</f>
        <v>11.6331096196868</v>
      </c>
    </row>
    <row r="24">
      <c r="A24" s="4" t="n">
        <v>2024</v>
      </c>
      <c r="B24" s="5">
        <f>'Raw data'!LS3</f>
        <v>23969</v>
      </c>
      <c r="C24" s="5">
        <f>'Raw data'!LT3</f>
        <v>2474</v>
      </c>
      <c r="D24" s="5">
        <f>'Raw data'!LU3</f>
        <v>593017</v>
      </c>
      <c r="E24" s="6">
        <f>IF(B24="","",B24/B$5*100)</f>
        <v>73.2369836225862</v>
      </c>
      <c r="F24" s="6">
        <f>IF(C24="","",C24/C$5*100)</f>
        <v>90.5563689604685</v>
      </c>
      <c r="G24" s="6">
        <f>IF(D24="","",D24/D$5*100)</f>
        <v>66.3170490318324</v>
      </c>
      <c r="H24" s="6">
        <f>IF(OR(D24="",D23=""),"",(D24-D23)/D23*100)</f>
        <v>7.76386397791722</v>
      </c>
      <c r="I24" s="6">
        <f>IF(OR(B24="",B23=""),"",(B24-B23)/B23*100)</f>
        <v>6.41065482796892</v>
      </c>
      <c r="J24" s="6">
        <f>IF(OR(C24="",C23=""),"",(C24-C23)/C23*100)</f>
        <v>1.26893164142448</v>
      </c>
      <c r="L24" s="5">
        <f>'Raw data'!LV3</f>
        <v>15521</v>
      </c>
      <c r="M24" s="5">
        <f>'Raw data'!LY3</f>
        <v>3928</v>
      </c>
      <c r="N24" s="5">
        <f>'Raw data'!MB3</f>
        <v>4520</v>
      </c>
      <c r="O24" s="5">
        <f>'Raw data'!LW3</f>
        <v>2562</v>
      </c>
      <c r="P24" s="5">
        <f>'Raw data'!LZ3</f>
        <v>3218</v>
      </c>
      <c r="Q24" s="5">
        <f>'Raw data'!MC3</f>
        <v>1527</v>
      </c>
      <c r="R24" s="5">
        <f>'Raw data'!LS21</f>
        <v>1803</v>
      </c>
      <c r="S24" s="6">
        <f>IF(OR(L24="",L23=""),"",(L24-L23)/L23*100)</f>
        <v>5.59221715762977</v>
      </c>
      <c r="T24" s="6">
        <f>IF(OR(M24="",M23=""),"",(M24-M23)/M23*100)</f>
        <v>2.42503259452412</v>
      </c>
      <c r="U24" s="6">
        <f>IF(OR(N24="",N23=""),"",(N24-N23)/N23*100)</f>
        <v>13.2264529058116</v>
      </c>
    </row>
    <row r="26" ht="32" customHeight="1">
      <c r="A26" s="2" t="inlineStr">
        <is>
          <t>시작연도 대비
전체 변화율(%)</t>
        </is>
      </c>
      <c r="B26" s="7">
        <f>(INDEX(B5:B24,COUNT(B5:B24))-B5)/B5*100</f>
        <v>-26.7630163774138</v>
      </c>
      <c r="C26" s="7">
        <f>(INDEX(C5:C24,COUNT(C5:C24))-C5)/C5*100</f>
        <v>-9.44363103953148</v>
      </c>
      <c r="D26" s="7">
        <f>(INDEX(D5:D24,COUNT(D5:D24))-D5)/D5*100</f>
        <v>-33.6829509681676</v>
      </c>
      <c r="E26" t="inlineStr">
        <is>
          <t>← (최종연도 값 − 시작연도 값) ÷ 시작연도 값 × 100 (최종연도 = 자료가 있는 마지막 연도)</t>
        </is>
      </c>
    </row>
    <row r="28">
      <c r="A28" s="8" t="inlineStr">
        <is>
          <t>보고서 결과해석에 인용한 추가 계산 (모두 수식)</t>
        </is>
      </c>
    </row>
    <row r="29">
      <c r="A29" s="2" t="inlineStr">
        <is>
          <t>항목</t>
        </is>
      </c>
      <c r="B29" s="9" t="n"/>
      <c r="C29" s="9" t="n"/>
      <c r="D29" s="10" t="n"/>
      <c r="E29" s="2" t="inlineStr">
        <is>
          <t>값</t>
        </is>
      </c>
      <c r="F29" s="2" t="inlineStr">
        <is>
          <t>해당 연도</t>
        </is>
      </c>
      <c r="G29" s="2" t="inlineStr">
        <is>
          <t>계산 방법</t>
        </is>
      </c>
      <c r="H29" s="9" t="n"/>
      <c r="I29" s="9" t="n"/>
      <c r="J29" s="10" t="n"/>
    </row>
    <row r="30">
      <c r="A30" s="11" t="inlineStr">
        <is>
          <t>재배면적 최소값(ha)</t>
        </is>
      </c>
      <c r="B30" s="12" t="n"/>
      <c r="C30" s="12" t="n"/>
      <c r="D30" s="12" t="n"/>
      <c r="E30" s="5">
        <f>MIN($B$5:$B$24)</f>
        <v>20088</v>
      </c>
      <c r="F30" s="4">
        <f>INDEX($A$5:$A$24,MATCH(E30,$B$5:$B$24,0))</f>
        <v>2022</v>
      </c>
      <c r="G30" s="11" t="inlineStr">
        <is>
          <t>MIN(재배면적), 연도는 INDEX·MATCH</t>
        </is>
      </c>
      <c r="H30" s="12" t="n"/>
      <c r="I30" s="12" t="n"/>
      <c r="J30" s="12" t="n"/>
    </row>
    <row r="31">
      <c r="A31" s="11" t="inlineStr">
        <is>
          <t>단수 최대값(kg/10a)</t>
        </is>
      </c>
      <c r="B31" s="12" t="n"/>
      <c r="C31" s="12" t="n"/>
      <c r="D31" s="12" t="n"/>
      <c r="E31" s="5">
        <f>MAX($C$5:$C$24)</f>
        <v>2943</v>
      </c>
      <c r="F31" s="4">
        <f>INDEX($A$5:$A$24,MATCH(E31,$C$5:$C$24,0))</f>
        <v>2008</v>
      </c>
      <c r="G31" s="11" t="inlineStr">
        <is>
          <t>MAX(단수)</t>
        </is>
      </c>
      <c r="H31" s="12" t="n"/>
      <c r="I31" s="12" t="n"/>
      <c r="J31" s="12" t="n"/>
    </row>
    <row r="32">
      <c r="A32" s="11" t="inlineStr">
        <is>
          <t>총생산량 최소값(톤)</t>
        </is>
      </c>
      <c r="B32" s="12" t="n"/>
      <c r="C32" s="12" t="n"/>
      <c r="D32" s="12" t="n"/>
      <c r="E32" s="5">
        <f>MIN($D$5:$D$24)</f>
        <v>466755</v>
      </c>
      <c r="F32" s="4">
        <f>INDEX($A$5:$A$24,MATCH(E32,$D$5:$D$24,0))</f>
        <v>2017</v>
      </c>
      <c r="G32" s="11" t="inlineStr">
        <is>
          <t>MIN(총생산량)</t>
        </is>
      </c>
      <c r="H32" s="12" t="n"/>
      <c r="I32" s="12" t="n"/>
      <c r="J32" s="12" t="n"/>
    </row>
    <row r="33">
      <c r="A33" s="11" t="inlineStr">
        <is>
          <t>일반봄감자 단수 최소값(kg/10a)</t>
        </is>
      </c>
      <c r="B33" s="12" t="n"/>
      <c r="C33" s="12" t="n"/>
      <c r="D33" s="12" t="n"/>
      <c r="E33" s="5">
        <f>MIN($O$5:$O$24)</f>
        <v>2152</v>
      </c>
      <c r="F33" s="4">
        <f>INDEX($A$5:$A$24,MATCH(E33,$O$5:$O$24,0))</f>
        <v>2017</v>
      </c>
      <c r="G33" s="11" t="inlineStr">
        <is>
          <t>MIN(일반봄감자 단수, O열)</t>
        </is>
      </c>
      <c r="H33" s="12" t="n"/>
      <c r="I33" s="12" t="n"/>
      <c r="J33" s="12" t="n"/>
    </row>
    <row r="34">
      <c r="A34" s="11" t="inlineStr">
        <is>
          <t>전국 재배면적 감소량(ha)</t>
        </is>
      </c>
      <c r="B34" s="12" t="n"/>
      <c r="C34" s="12" t="n"/>
      <c r="D34" s="12" t="n"/>
      <c r="E34" s="5">
        <f>B5-INDEX($B$5:$B$24,COUNT($D$5:$D$24))</f>
        <v>8759</v>
      </c>
      <c r="F34" s="4" t="str">
        <f>A5&amp;"→"&amp;INDEX($A$5:$A$24,COUNT($D$5:$D$24))</f>
        <v>2005→2024</v>
      </c>
      <c r="G34" s="11" t="inlineStr">
        <is>
          <t>시작연도 값 − 최종연도 값</t>
        </is>
      </c>
      <c r="H34" s="12" t="n"/>
      <c r="I34" s="12" t="n"/>
      <c r="J34" s="12" t="n"/>
    </row>
    <row r="35">
      <c r="A35" s="11" t="inlineStr">
        <is>
          <t>제주 재배면적 감소량(ha)</t>
        </is>
      </c>
      <c r="B35" s="12" t="n"/>
      <c r="C35" s="12" t="n"/>
      <c r="D35" s="12" t="n"/>
      <c r="E35" s="5">
        <f>R5-INDEX($R$5:$R$24,COUNT($D$5:$D$24))</f>
        <v>4371</v>
      </c>
      <c r="F35" s="4" t="str">
        <f>A5&amp;"→"&amp;INDEX($A$5:$A$24,COUNT($D$5:$D$24))</f>
        <v>2005→2024</v>
      </c>
      <c r="G35" s="11" t="inlineStr">
        <is>
          <t>시작연도 값 − 최종연도 값 (R열, 제주)</t>
        </is>
      </c>
      <c r="H35" s="12" t="n"/>
      <c r="I35" s="12" t="n"/>
      <c r="J35" s="12" t="n"/>
    </row>
    <row r="36">
      <c r="A36" s="11" t="inlineStr">
        <is>
          <t>제주 감소량 ÷ 전국 감소량(%)</t>
        </is>
      </c>
      <c r="B36" s="12" t="n"/>
      <c r="C36" s="12" t="n"/>
      <c r="D36" s="12" t="n"/>
      <c r="E36" s="6">
        <f>E35/E34*100</f>
        <v>49.9029569585569</v>
      </c>
      <c r="F36" s="4" t="str">
        <f>A5&amp;"→"&amp;INDEX($A$5:$A$24,COUNT($D$5:$D$24))</f>
        <v>2005→2024</v>
      </c>
      <c r="G36" s="11" t="inlineStr">
        <is>
          <t>제주 감소량 ÷ 전국 감소량 × 100</t>
        </is>
      </c>
      <c r="H36" s="12" t="n"/>
      <c r="I36" s="12" t="n"/>
      <c r="J36" s="12" t="n"/>
    </row>
    <row r="37" ht="30" customHeight="1">
      <c r="A37" s="11" t="inlineStr">
        <is>
          <t>최종연도 면적으로 시작연도 생산량을 내는 데 필요한 단수(kg/10a)</t>
        </is>
      </c>
      <c r="B37" s="12" t="n"/>
      <c r="C37" s="12" t="n"/>
      <c r="D37" s="12" t="n"/>
      <c r="E37" s="5">
        <f>D5/INDEX($B$5:$B$24,COUNT($D$5:$D$24))*100</f>
        <v>3730.71467311945</v>
      </c>
      <c r="F37" s="4" t="str">
        <f>A5&amp;"→"&amp;INDEX($A$5:$A$24,COUNT($D$5:$D$24))</f>
        <v>2005→2024</v>
      </c>
      <c r="G37" s="11" t="inlineStr">
        <is>
          <t>시작연도 생산량(톤)×1000 ÷ (최종연도 면적(ha)×10)</t>
        </is>
      </c>
      <c r="H37" s="12" t="n"/>
      <c r="I37" s="12" t="n"/>
      <c r="J37" s="12" t="n"/>
    </row>
    <row r="38">
      <c r="A38" s="11" t="inlineStr">
        <is>
          <t>필요 단수가 단수 최대값보다 높은 비율(%)</t>
        </is>
      </c>
      <c r="B38" s="12" t="n"/>
      <c r="C38" s="12" t="n"/>
      <c r="D38" s="12" t="n"/>
      <c r="E38" s="6">
        <f>(E37/E31-1)*100</f>
        <v>26.7657041494885</v>
      </c>
      <c r="F38" s="4" t="n"/>
      <c r="G38" s="11" t="inlineStr">
        <is>
          <t>(필요 단수 ÷ 단수 최대값 − 1) × 100</t>
        </is>
      </c>
      <c r="H38" s="12" t="n"/>
      <c r="I38" s="12" t="n"/>
      <c r="J38" s="12" t="n"/>
    </row>
    <row r="39">
      <c r="A39" s="11" t="inlineStr">
        <is>
          <t>일반봄감자 재배면적 전년 대비 변화율(%)</t>
        </is>
      </c>
      <c r="B39" s="12" t="n"/>
      <c r="C39" s="12" t="n"/>
      <c r="D39" s="12" t="n"/>
      <c r="E39" s="6">
        <f>INDEX($S$5:$S$24,MATCH(F39,$A$5:$A$24,0))</f>
        <v>-25.3306713251809</v>
      </c>
      <c r="F39" s="4" t="n">
        <v>2006</v>
      </c>
      <c r="G39" s="11" t="inlineStr">
        <is>
          <t>S열(전년 대비 변화율)에서 해당 연도 값</t>
        </is>
      </c>
      <c r="H39" s="12" t="n"/>
      <c r="I39" s="12" t="n"/>
      <c r="J39" s="12" t="n"/>
    </row>
    <row r="40">
      <c r="A40" s="11" t="inlineStr">
        <is>
          <t>가을감자 재배면적 전년 대비 변화율(%)</t>
        </is>
      </c>
      <c r="B40" s="12" t="n"/>
      <c r="C40" s="12" t="n"/>
      <c r="D40" s="12" t="n"/>
      <c r="E40" s="6">
        <f>INDEX($U$5:$U$24,MATCH(F40,$A$5:$A$24,0))</f>
        <v>-39.5040924410207</v>
      </c>
      <c r="F40" s="4" t="n">
        <v>2006</v>
      </c>
      <c r="G40" s="11" t="inlineStr">
        <is>
          <t>U열(전년 대비 변화율)에서 해당 연도 값</t>
        </is>
      </c>
      <c r="H40" s="12" t="n"/>
      <c r="I40" s="12" t="n"/>
      <c r="J40" s="12" t="n"/>
    </row>
    <row r="41">
      <c r="A41" s="11" t="inlineStr">
        <is>
          <t>가을감자 재배면적 전년 대비 변화율(%)</t>
        </is>
      </c>
      <c r="B41" s="12" t="n"/>
      <c r="C41" s="12" t="n"/>
      <c r="D41" s="12" t="n"/>
      <c r="E41" s="6">
        <f>INDEX($U$5:$U$24,MATCH(F41,$A$5:$A$24,0))</f>
        <v>-19.043659043659</v>
      </c>
      <c r="F41" s="4" t="n">
        <v>2011</v>
      </c>
      <c r="G41" s="11" t="inlineStr">
        <is>
          <t>U열(전년 대비 변화율)에서 해당 연도 값</t>
        </is>
      </c>
      <c r="H41" s="12" t="n"/>
      <c r="I41" s="12" t="n"/>
      <c r="J41" s="12" t="n"/>
    </row>
  </sheetData>
  <mergeCells count="26">
    <mergeCell ref="A35:D35"/>
    <mergeCell ref="G35:J35"/>
    <mergeCell ref="A38:D38"/>
    <mergeCell ref="A29:D29"/>
    <mergeCell ref="G29:J29"/>
    <mergeCell ref="G41:J41"/>
    <mergeCell ref="G32:J32"/>
    <mergeCell ref="A40:D40"/>
    <mergeCell ref="G40:J40"/>
    <mergeCell ref="A31:D31"/>
    <mergeCell ref="G31:J31"/>
    <mergeCell ref="A34:D34"/>
    <mergeCell ref="A30:D30"/>
    <mergeCell ref="A39:D39"/>
    <mergeCell ref="A36:D36"/>
    <mergeCell ref="G36:J36"/>
    <mergeCell ref="G39:J39"/>
    <mergeCell ref="G38:J38"/>
    <mergeCell ref="A41:D41"/>
    <mergeCell ref="G37:J37"/>
    <mergeCell ref="A37:D37"/>
    <mergeCell ref="G34:J34"/>
    <mergeCell ref="G30:J30"/>
    <mergeCell ref="A33:D33"/>
    <mergeCell ref="G33:J33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</cols>
  <sheetData>
    <row r="1">
      <c r="A1" s="8" t="inlineStr">
        <is>
          <t>표 1. 요약표: 시작연도·5년 간격 연도·최종연도 (전국 감자)</t>
        </is>
      </c>
    </row>
    <row r="3" ht="32" customHeight="1">
      <c r="A3" s="2" t="inlineStr">
        <is>
          <t>구분</t>
        </is>
      </c>
      <c r="B3" s="13">
        <f>분석!A5</f>
        <v>2005</v>
      </c>
      <c r="C3" s="13">
        <f>B3+5</f>
        <v>2010</v>
      </c>
      <c r="D3" s="13">
        <f>C3+5</f>
        <v>2015</v>
      </c>
      <c r="E3" s="13">
        <f>D3+5</f>
        <v>2020</v>
      </c>
      <c r="F3" s="13">
        <f>INDEX(분석!A5:A24,COUNT(분석!D5:D24))</f>
        <v>2024</v>
      </c>
      <c r="G3" s="2" t="inlineStr">
        <is>
          <t>전체 변화율(%)
(시작→최종)</t>
        </is>
      </c>
    </row>
    <row r="4">
      <c r="A4" s="4" t="inlineStr">
        <is>
          <t>재배면적(ha)</t>
        </is>
      </c>
      <c r="B4" s="5">
        <f>INDEX(분석!$B$5:$B$24,MATCH(B$3,분석!$A$5:$A$24,0))</f>
        <v>32728</v>
      </c>
      <c r="C4" s="5">
        <f>INDEX(분석!$B$5:$B$24,MATCH(C$3,분석!$A$5:$A$24,0))</f>
        <v>24913</v>
      </c>
      <c r="D4" s="5">
        <f>INDEX(분석!$B$5:$B$24,MATCH(D$3,분석!$A$5:$A$24,0))</f>
        <v>20234</v>
      </c>
      <c r="E4" s="5">
        <f>INDEX(분석!$B$5:$B$24,MATCH(E$3,분석!$A$5:$A$24,0))</f>
        <v>23599</v>
      </c>
      <c r="F4" s="5">
        <f>INDEX(분석!$B$5:$B$24,MATCH(F$3,분석!$A$5:$A$24,0))</f>
        <v>23969</v>
      </c>
      <c r="G4" s="6">
        <f>분석!B26</f>
        <v>-26.7630163774138</v>
      </c>
    </row>
    <row r="5">
      <c r="A5" s="4" t="inlineStr">
        <is>
          <t>단수(kg/10a)</t>
        </is>
      </c>
      <c r="B5" s="5">
        <f>INDEX(분석!$C$5:$C$24,MATCH(B$3,분석!$A$5:$A$24,0))</f>
        <v>2732</v>
      </c>
      <c r="C5" s="5">
        <f>INDEX(분석!$C$5:$C$24,MATCH(C$3,분석!$A$5:$A$24,0))</f>
        <v>2475</v>
      </c>
      <c r="D5" s="5">
        <f>INDEX(분석!$C$5:$C$24,MATCH(D$3,분석!$A$5:$A$24,0))</f>
        <v>2658</v>
      </c>
      <c r="E5" s="5">
        <f>INDEX(분석!$C$5:$C$24,MATCH(E$3,분석!$A$5:$A$24,0))</f>
        <v>2344</v>
      </c>
      <c r="F5" s="5">
        <f>INDEX(분석!$C$5:$C$24,MATCH(F$3,분석!$A$5:$A$24,0))</f>
        <v>2474</v>
      </c>
      <c r="G5" s="6">
        <f>분석!C26</f>
        <v>-9.44363103953148</v>
      </c>
    </row>
    <row r="6">
      <c r="A6" s="4" t="inlineStr">
        <is>
          <t>총생산량(톤)</t>
        </is>
      </c>
      <c r="B6" s="5">
        <f>INDEX(분석!$D$5:$D$24,MATCH(B$3,분석!$A$5:$A$24,0))</f>
        <v>894215</v>
      </c>
      <c r="C6" s="5">
        <f>INDEX(분석!$D$5:$D$24,MATCH(C$3,분석!$A$5:$A$24,0))</f>
        <v>616707</v>
      </c>
      <c r="D6" s="5">
        <f>INDEX(분석!$D$5:$D$24,MATCH(D$3,분석!$A$5:$A$24,0))</f>
        <v>537738</v>
      </c>
      <c r="E6" s="5">
        <f>INDEX(분석!$D$5:$D$24,MATCH(E$3,분석!$A$5:$A$24,0))</f>
        <v>553194</v>
      </c>
      <c r="F6" s="5">
        <f>INDEX(분석!$D$5:$D$24,MATCH(F$3,분석!$A$5:$A$24,0))</f>
        <v>593017</v>
      </c>
      <c r="G6" s="6">
        <f>분석!D26</f>
        <v>-33.6829509681676</v>
      </c>
    </row>
    <row r="7">
      <c r="A7" s="4" t="inlineStr">
        <is>
          <t>재배면적 지수(2005=100)</t>
        </is>
      </c>
      <c r="B7" s="6">
        <f>INDEX(분석!$E$5:$E$24,MATCH(B$3,분석!$A$5:$A$24,0))</f>
        <v>100</v>
      </c>
      <c r="C7" s="6">
        <f>INDEX(분석!$E$5:$E$24,MATCH(C$3,분석!$A$5:$A$24,0))</f>
        <v>76.1213639696896</v>
      </c>
      <c r="D7" s="6">
        <f>INDEX(분석!$E$5:$E$24,MATCH(D$3,분석!$A$5:$A$24,0))</f>
        <v>61.8247372280616</v>
      </c>
      <c r="E7" s="6">
        <f>INDEX(분석!$E$5:$E$24,MATCH(E$3,분석!$A$5:$A$24,0))</f>
        <v>72.1064531899291</v>
      </c>
      <c r="F7" s="6">
        <f>INDEX(분석!$E$5:$E$24,MATCH(F$3,분석!$A$5:$A$24,0))</f>
        <v>73.2369836225862</v>
      </c>
      <c r="G7" s="6" t="inlineStr">
        <is>
          <t>-</t>
        </is>
      </c>
    </row>
    <row r="8">
      <c r="A8" s="4" t="inlineStr">
        <is>
          <t>단수 지수(2005=100)</t>
        </is>
      </c>
      <c r="B8" s="6">
        <f>INDEX(분석!$F$5:$F$24,MATCH(B$3,분석!$A$5:$A$24,0))</f>
        <v>100</v>
      </c>
      <c r="C8" s="6">
        <f>INDEX(분석!$F$5:$F$24,MATCH(C$3,분석!$A$5:$A$24,0))</f>
        <v>90.592972181552</v>
      </c>
      <c r="D8" s="6">
        <f>INDEX(분석!$F$5:$F$24,MATCH(D$3,분석!$A$5:$A$24,0))</f>
        <v>97.2913616398243</v>
      </c>
      <c r="E8" s="6">
        <f>INDEX(분석!$F$5:$F$24,MATCH(E$3,분석!$A$5:$A$24,0))</f>
        <v>85.7979502196193</v>
      </c>
      <c r="F8" s="6">
        <f>INDEX(분석!$F$5:$F$24,MATCH(F$3,분석!$A$5:$A$24,0))</f>
        <v>90.5563689604685</v>
      </c>
      <c r="G8" s="6" t="inlineStr">
        <is>
          <t>-</t>
        </is>
      </c>
    </row>
    <row r="9">
      <c r="A9" s="4" t="inlineStr">
        <is>
          <t>생산량 지수(2005=100)</t>
        </is>
      </c>
      <c r="B9" s="6">
        <f>INDEX(분석!$G$5:$G$24,MATCH(B$3,분석!$A$5:$A$24,0))</f>
        <v>100</v>
      </c>
      <c r="C9" s="6">
        <f>INDEX(분석!$G$5:$G$24,MATCH(C$3,분석!$A$5:$A$24,0))</f>
        <v>68.9663000508826</v>
      </c>
      <c r="D9" s="6">
        <f>INDEX(분석!$G$5:$G$24,MATCH(D$3,분석!$A$5:$A$24,0))</f>
        <v>60.1352023842141</v>
      </c>
      <c r="E9" s="6">
        <f>INDEX(분석!$G$5:$G$24,MATCH(E$3,분석!$A$5:$A$24,0))</f>
        <v>61.8636457675168</v>
      </c>
      <c r="F9" s="6">
        <f>INDEX(분석!$G$5:$G$24,MATCH(F$3,분석!$A$5:$A$24,0))</f>
        <v>66.3170490318324</v>
      </c>
      <c r="G9" s="6" t="inlineStr">
        <is>
          <t>-</t>
        </is>
      </c>
    </row>
    <row r="10">
      <c r="A10" t="inlineStr">
        <is>
          <t>※ 전체 변화율(%) = (최종연도 값 − 시작연도 값) ÷ 시작연도 값 × 100,  지수 = 해당연도 값 ÷ 시작연도 값 × 100</t>
        </is>
      </c>
    </row>
    <row r="11">
      <c r="A11" t="inlineStr">
        <is>
          <t>※ 자료: 국가데이터처 KOSIS 「농작물생산조사」 통계표 '서류생산량(생서)'(감자 합계, 전국), 다운로드일 2026.10.10</t>
        </is>
      </c>
    </row>
    <row r="13">
      <c r="A13" s="8" t="inlineStr">
        <is>
          <t>표 2. 전년 대비 변화가 두드러진 연도</t>
        </is>
      </c>
    </row>
    <row r="14">
      <c r="A14" s="2" t="inlineStr">
        <is>
          <t>구분</t>
        </is>
      </c>
      <c r="B14" s="2" t="inlineStr">
        <is>
          <t>연도</t>
        </is>
      </c>
      <c r="C14" s="2" t="inlineStr">
        <is>
          <t>값</t>
        </is>
      </c>
    </row>
    <row r="15">
      <c r="A15" s="4" t="inlineStr">
        <is>
          <t>생산량 최대 감소율(%)</t>
        </is>
      </c>
      <c r="B15" s="4">
        <f>INDEX(분석!A6:A24,MATCH(C15,분석!H6:H24,0))</f>
        <v>2006</v>
      </c>
      <c r="C15" s="6">
        <f>MIN(분석!H6:H24)</f>
        <v>-29.425697399395</v>
      </c>
    </row>
    <row r="16">
      <c r="A16" s="4" t="inlineStr">
        <is>
          <t>생산량 최대 증가율(%)</t>
        </is>
      </c>
      <c r="B16" s="4">
        <f>INDEX(분석!A6:A24,MATCH(C16,분석!H6:H24,0))</f>
        <v>2019</v>
      </c>
      <c r="C16" s="6">
        <f>MAX(분석!H6:H24)</f>
        <v>25.9739264503298</v>
      </c>
    </row>
    <row r="17">
      <c r="A17" s="4" t="inlineStr">
        <is>
          <t>단수 최저값(kg/10a)</t>
        </is>
      </c>
      <c r="B17" s="4">
        <f>INDEX(분석!A5:A24,MATCH(C17,분석!C5:C24,0))</f>
        <v>2017</v>
      </c>
      <c r="C17" s="5">
        <f>MIN(분석!C5:C24)</f>
        <v>2225</v>
      </c>
    </row>
    <row r="18">
      <c r="A18" s="4" t="inlineStr">
        <is>
          <t>재배면적 최대 감소율(%)</t>
        </is>
      </c>
      <c r="B18" s="4">
        <f>INDEX(분석!A6:A24,MATCH(C18,분석!I6:I24,0))</f>
        <v>2006</v>
      </c>
      <c r="C18" s="6">
        <f>MIN(분석!I6:I24)</f>
        <v>-26.7996822292838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2026-10-15T04:34:13Z</dcterms:created>
  <dcterms:modified xmlns:dcterms="http://purl.org/dc/terms/" xmlns:xsi="http://www.w3.org/2001/XMLSchema-instance" xsi:type="dcterms:W3CDTF">2026-10-15T04:34:13Z</dcterms:modified>
</cp:coreProperties>
</file>