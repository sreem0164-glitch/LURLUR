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격 Raw(지역)" sheetId="1" state="visible" r:id="rId1"/>
    <sheet xmlns:r="http://schemas.openxmlformats.org/officeDocument/2006/relationships" name="가격 Raw(전국)" sheetId="2" state="visible" r:id="rId2"/>
    <sheet xmlns:r="http://schemas.openxmlformats.org/officeDocument/2006/relationships" name="기상 Raw" sheetId="3" state="visible" r:id="rId3"/>
    <sheet xmlns:r="http://schemas.openxmlformats.org/officeDocument/2006/relationships" name="분석" sheetId="4" state="visible" r:id="rId4"/>
    <sheet xmlns:r="http://schemas.openxmlformats.org/officeDocument/2006/relationships" name="그래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그래프 1. 토마토 월평균 소매가격 추이(대전 vs 전국)</a:t>
            </a:r>
          </a:p>
        </rich>
      </tx>
    </title>
    <plotArea>
      <lineChart>
        <grouping val="standard"/>
        <ser>
          <idx val="0"/>
          <order val="0"/>
          <tx>
            <strRef>
              <f>'분석'!D4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'분석'!$A$5:$A$40</f>
            </numRef>
          </cat>
          <val>
            <numRef>
              <f>'분석'!$D$5:$D$40</f>
            </numRef>
          </val>
          <smooth val="0"/>
        </ser>
        <ser>
          <idx val="1"/>
          <order val="1"/>
          <tx>
            <strRef>
              <f>'분석'!H4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'분석'!$A$5:$A$40</f>
            </numRef>
          </cat>
          <val>
            <numRef>
              <f>'분석'!$H$5:$H$40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소매가격(원/kg)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그래프 2. 같은 달끼리 비교한 연도별 소매가격</a:t>
            </a:r>
          </a:p>
        </rich>
      </tx>
    </title>
    <plotArea>
      <lineChart>
        <grouping val="standard"/>
        <ser>
          <idx val="0"/>
          <order val="0"/>
          <tx>
            <strRef>
              <f>'분석'!O12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'분석'!$N$13:$N$24</f>
            </numRef>
          </cat>
          <val>
            <numRef>
              <f>'분석'!$O$13:$O$24</f>
            </numRef>
          </val>
          <smooth val="0"/>
        </ser>
        <ser>
          <idx val="1"/>
          <order val="1"/>
          <tx>
            <strRef>
              <f>'분석'!P12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'분석'!$N$13:$N$24</f>
            </numRef>
          </cat>
          <val>
            <numRef>
              <f>'분석'!$P$13:$P$24</f>
            </numRef>
          </val>
          <smooth val="0"/>
        </ser>
        <ser>
          <idx val="2"/>
          <order val="2"/>
          <tx>
            <strRef>
              <f>'분석'!Q12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'분석'!$N$13:$N$24</f>
            </numRef>
          </cat>
          <val>
            <numRef>
              <f>'분석'!$Q$13:$Q$24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소매가격(원/kg)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4" customWidth="1" min="4" max="4"/>
  </cols>
  <sheetData>
    <row r="1">
      <c r="A1" s="1" t="inlineStr">
        <is>
          <t>KAMIS 소매가격 일별 원자료 – 채소류, 토마토, 토마토, 상품, 1kg / 대전</t>
        </is>
      </c>
    </row>
    <row r="3">
      <c r="A3" s="2" t="inlineStr">
        <is>
          <t>날짜</t>
        </is>
      </c>
      <c r="B3" s="2" t="inlineStr">
        <is>
          <t>가격(원/1kg)</t>
        </is>
      </c>
      <c r="C3" s="2" t="inlineStr">
        <is>
          <t>등락률(%)</t>
        </is>
      </c>
      <c r="D3" s="2" t="inlineStr">
        <is>
          <t>원본 파일 번호</t>
        </is>
      </c>
    </row>
    <row r="4">
      <c r="A4" s="3" t="n">
        <v>44925</v>
      </c>
      <c r="B4" s="4" t="n">
        <v>5603</v>
      </c>
      <c r="C4" t="n">
        <v>0</v>
      </c>
      <c r="D4" t="n">
        <v>7</v>
      </c>
    </row>
    <row r="5">
      <c r="A5" s="3" t="n">
        <v>44928</v>
      </c>
      <c r="B5" s="4" t="n">
        <v>5603</v>
      </c>
      <c r="C5" t="n">
        <v>0</v>
      </c>
      <c r="D5" t="n">
        <v>7</v>
      </c>
    </row>
    <row r="6">
      <c r="A6" s="3" t="n">
        <v>44929</v>
      </c>
      <c r="B6" s="4" t="n">
        <v>5603</v>
      </c>
      <c r="C6" t="n">
        <v>0</v>
      </c>
      <c r="D6" t="n">
        <v>7</v>
      </c>
    </row>
    <row r="7">
      <c r="A7" s="3" t="n">
        <v>44930</v>
      </c>
      <c r="B7" s="4" t="n">
        <v>5603</v>
      </c>
      <c r="C7" t="n">
        <v>0</v>
      </c>
      <c r="D7" t="n">
        <v>7</v>
      </c>
    </row>
    <row r="8">
      <c r="A8" s="3" t="n">
        <v>44931</v>
      </c>
      <c r="B8" s="4" t="n">
        <v>5603</v>
      </c>
      <c r="C8" t="n">
        <v>0</v>
      </c>
      <c r="D8" t="n">
        <v>7</v>
      </c>
    </row>
    <row r="9">
      <c r="A9" s="3" t="n">
        <v>44932</v>
      </c>
      <c r="B9" s="4" t="n">
        <v>5520</v>
      </c>
      <c r="C9" t="n">
        <v>-1.48</v>
      </c>
      <c r="D9" t="n">
        <v>7</v>
      </c>
    </row>
    <row r="10">
      <c r="A10" s="3" t="n">
        <v>44935</v>
      </c>
      <c r="B10" s="4" t="n">
        <v>5520</v>
      </c>
      <c r="C10" t="n">
        <v>0</v>
      </c>
      <c r="D10" t="n">
        <v>7</v>
      </c>
    </row>
    <row r="11">
      <c r="A11" s="3" t="n">
        <v>44936</v>
      </c>
      <c r="B11" s="4" t="n">
        <v>5520</v>
      </c>
      <c r="C11" t="n">
        <v>0</v>
      </c>
      <c r="D11" t="n">
        <v>7</v>
      </c>
    </row>
    <row r="12">
      <c r="A12" s="3" t="n">
        <v>44937</v>
      </c>
      <c r="B12" s="4" t="n">
        <v>5520</v>
      </c>
      <c r="C12" t="n">
        <v>0</v>
      </c>
      <c r="D12" t="n">
        <v>7</v>
      </c>
    </row>
    <row r="13">
      <c r="A13" s="3" t="n">
        <v>44938</v>
      </c>
      <c r="B13" s="4" t="n">
        <v>5797</v>
      </c>
      <c r="C13" t="n">
        <v>5.02</v>
      </c>
      <c r="D13" t="n">
        <v>7</v>
      </c>
    </row>
    <row r="14">
      <c r="A14" s="3" t="n">
        <v>44939</v>
      </c>
      <c r="B14" s="4" t="n">
        <v>5797</v>
      </c>
      <c r="C14" t="n">
        <v>0</v>
      </c>
      <c r="D14" t="n">
        <v>7</v>
      </c>
    </row>
    <row r="15">
      <c r="A15" s="3" t="n">
        <v>44942</v>
      </c>
      <c r="B15" s="4" t="n">
        <v>5797</v>
      </c>
      <c r="C15" t="n">
        <v>0</v>
      </c>
      <c r="D15" t="n">
        <v>7</v>
      </c>
    </row>
    <row r="16">
      <c r="A16" s="3" t="n">
        <v>44943</v>
      </c>
      <c r="B16" s="4" t="n">
        <v>5797</v>
      </c>
      <c r="C16" t="n">
        <v>0</v>
      </c>
      <c r="D16" t="n">
        <v>7</v>
      </c>
    </row>
    <row r="17">
      <c r="A17" s="3" t="n">
        <v>44944</v>
      </c>
      <c r="B17" s="4" t="n">
        <v>5797</v>
      </c>
      <c r="C17" t="n">
        <v>0</v>
      </c>
      <c r="D17" t="n">
        <v>7</v>
      </c>
    </row>
    <row r="18">
      <c r="A18" s="3" t="n">
        <v>44945</v>
      </c>
      <c r="B18" s="4" t="n">
        <v>6130</v>
      </c>
      <c r="C18" t="n">
        <v>5.74</v>
      </c>
      <c r="D18" t="n">
        <v>7</v>
      </c>
    </row>
    <row r="19">
      <c r="A19" s="3" t="n">
        <v>44946</v>
      </c>
      <c r="B19" s="4" t="n">
        <v>6130</v>
      </c>
      <c r="C19" t="n">
        <v>0</v>
      </c>
      <c r="D19" t="n">
        <v>7</v>
      </c>
    </row>
    <row r="20">
      <c r="A20" s="3" t="n">
        <v>44951</v>
      </c>
      <c r="B20" s="4" t="n">
        <v>6170</v>
      </c>
      <c r="C20" t="n">
        <v>0.65</v>
      </c>
      <c r="D20" t="n">
        <v>7</v>
      </c>
    </row>
    <row r="21">
      <c r="A21" s="3" t="n">
        <v>44952</v>
      </c>
      <c r="B21" s="4" t="n">
        <v>6170</v>
      </c>
      <c r="C21" t="n">
        <v>0</v>
      </c>
      <c r="D21" t="n">
        <v>7</v>
      </c>
    </row>
    <row r="22">
      <c r="A22" s="3" t="n">
        <v>44953</v>
      </c>
      <c r="B22" s="4" t="n">
        <v>6170</v>
      </c>
      <c r="C22" t="n">
        <v>0</v>
      </c>
      <c r="D22" t="n">
        <v>7</v>
      </c>
    </row>
    <row r="23">
      <c r="A23" s="3" t="n">
        <v>44956</v>
      </c>
      <c r="B23" s="4" t="n">
        <v>6170</v>
      </c>
      <c r="C23" t="n">
        <v>0</v>
      </c>
      <c r="D23" t="n">
        <v>7</v>
      </c>
    </row>
    <row r="24">
      <c r="A24" s="3" t="n">
        <v>44957</v>
      </c>
      <c r="B24" s="4" t="n">
        <v>6170</v>
      </c>
      <c r="C24" t="n">
        <v>0</v>
      </c>
      <c r="D24" t="n">
        <v>7</v>
      </c>
    </row>
    <row r="25">
      <c r="A25" s="3" t="n">
        <v>44958</v>
      </c>
      <c r="B25" s="4" t="n">
        <v>6253</v>
      </c>
      <c r="C25" t="n">
        <v>1.35</v>
      </c>
      <c r="D25" t="n">
        <v>7</v>
      </c>
    </row>
    <row r="26">
      <c r="A26" s="3" t="n">
        <v>44959</v>
      </c>
      <c r="B26" s="4" t="n">
        <v>5920</v>
      </c>
      <c r="C26" t="n">
        <v>-5.33</v>
      </c>
      <c r="D26" t="n">
        <v>7</v>
      </c>
    </row>
    <row r="27">
      <c r="A27" s="3" t="n">
        <v>44960</v>
      </c>
      <c r="B27" s="4" t="n">
        <v>5920</v>
      </c>
      <c r="C27" t="n">
        <v>0</v>
      </c>
      <c r="D27" t="n">
        <v>7</v>
      </c>
    </row>
    <row r="28">
      <c r="A28" s="3" t="n">
        <v>44963</v>
      </c>
      <c r="B28" s="4" t="n">
        <v>5920</v>
      </c>
      <c r="C28" t="n">
        <v>0</v>
      </c>
      <c r="D28" t="n">
        <v>7</v>
      </c>
    </row>
    <row r="29">
      <c r="A29" s="3" t="n">
        <v>44964</v>
      </c>
      <c r="B29" s="4" t="n">
        <v>5920</v>
      </c>
      <c r="C29" t="n">
        <v>0</v>
      </c>
      <c r="D29" t="n">
        <v>7</v>
      </c>
    </row>
    <row r="30">
      <c r="A30" s="3" t="n">
        <v>44965</v>
      </c>
      <c r="B30" s="4" t="n">
        <v>5920</v>
      </c>
      <c r="C30" t="n">
        <v>0</v>
      </c>
      <c r="D30" t="n">
        <v>7</v>
      </c>
    </row>
    <row r="31">
      <c r="A31" s="3" t="n">
        <v>44966</v>
      </c>
      <c r="B31" s="4" t="n">
        <v>7143</v>
      </c>
      <c r="C31" t="n">
        <v>20.66</v>
      </c>
      <c r="D31" t="n">
        <v>7</v>
      </c>
    </row>
    <row r="32">
      <c r="A32" s="3" t="n">
        <v>44967</v>
      </c>
      <c r="B32" s="4" t="n">
        <v>7143</v>
      </c>
      <c r="C32" t="n">
        <v>0</v>
      </c>
      <c r="D32" t="n">
        <v>7</v>
      </c>
    </row>
    <row r="33">
      <c r="A33" s="3" t="n">
        <v>44970</v>
      </c>
      <c r="B33" s="4" t="n">
        <v>7143</v>
      </c>
      <c r="C33" t="n">
        <v>0</v>
      </c>
      <c r="D33" t="n">
        <v>7</v>
      </c>
    </row>
    <row r="34">
      <c r="A34" s="3" t="n">
        <v>44971</v>
      </c>
      <c r="B34" s="4" t="n">
        <v>7143</v>
      </c>
      <c r="C34" t="n">
        <v>0</v>
      </c>
      <c r="D34" t="n">
        <v>7</v>
      </c>
    </row>
    <row r="35">
      <c r="A35" s="3" t="n">
        <v>44972</v>
      </c>
      <c r="B35" s="4" t="n">
        <v>7143</v>
      </c>
      <c r="C35" t="n">
        <v>0</v>
      </c>
      <c r="D35" t="n">
        <v>7</v>
      </c>
    </row>
    <row r="36">
      <c r="A36" s="3" t="n">
        <v>44973</v>
      </c>
      <c r="B36" s="4" t="n">
        <v>6530</v>
      </c>
      <c r="C36" t="n">
        <v>-8.58</v>
      </c>
      <c r="D36" t="n">
        <v>7</v>
      </c>
    </row>
    <row r="37">
      <c r="A37" s="3" t="n">
        <v>44974</v>
      </c>
      <c r="B37" s="4" t="n">
        <v>6530</v>
      </c>
      <c r="C37" t="n">
        <v>0</v>
      </c>
      <c r="D37" t="n">
        <v>7</v>
      </c>
    </row>
    <row r="38">
      <c r="A38" s="3" t="n">
        <v>44977</v>
      </c>
      <c r="B38" s="4" t="n">
        <v>6530</v>
      </c>
      <c r="C38" t="n">
        <v>0</v>
      </c>
      <c r="D38" t="n">
        <v>7</v>
      </c>
    </row>
    <row r="39">
      <c r="A39" s="3" t="n">
        <v>44978</v>
      </c>
      <c r="B39" s="4" t="n">
        <v>6530</v>
      </c>
      <c r="C39" t="n">
        <v>0</v>
      </c>
      <c r="D39" t="n">
        <v>7</v>
      </c>
    </row>
    <row r="40">
      <c r="A40" s="3" t="n">
        <v>44979</v>
      </c>
      <c r="B40" s="4" t="n">
        <v>6613</v>
      </c>
      <c r="C40" t="n">
        <v>1.27</v>
      </c>
      <c r="D40" t="n">
        <v>7</v>
      </c>
    </row>
    <row r="41">
      <c r="A41" s="3" t="n">
        <v>44980</v>
      </c>
      <c r="B41" s="4" t="n">
        <v>7813</v>
      </c>
      <c r="C41" t="n">
        <v>18.15</v>
      </c>
      <c r="D41" t="n">
        <v>7</v>
      </c>
    </row>
    <row r="42">
      <c r="A42" s="3" t="n">
        <v>44981</v>
      </c>
      <c r="B42" s="4" t="n">
        <v>8023</v>
      </c>
      <c r="C42" t="n">
        <v>2.69</v>
      </c>
      <c r="D42" t="n">
        <v>7</v>
      </c>
    </row>
    <row r="43">
      <c r="A43" s="3" t="n">
        <v>44984</v>
      </c>
      <c r="B43" s="4" t="n">
        <v>7980</v>
      </c>
      <c r="C43" t="n">
        <v>-0.54</v>
      </c>
      <c r="D43" t="n">
        <v>7</v>
      </c>
    </row>
    <row r="44">
      <c r="A44" s="3" t="n">
        <v>44985</v>
      </c>
      <c r="B44" s="4" t="n">
        <v>8023</v>
      </c>
      <c r="C44" t="n">
        <v>0.54</v>
      </c>
      <c r="D44" t="n">
        <v>7</v>
      </c>
    </row>
    <row r="45">
      <c r="A45" s="3" t="n">
        <v>44987</v>
      </c>
      <c r="B45" s="4" t="n">
        <v>8023</v>
      </c>
      <c r="C45" t="n">
        <v>0</v>
      </c>
      <c r="D45" t="n">
        <v>7</v>
      </c>
    </row>
    <row r="46">
      <c r="A46" s="3" t="n">
        <v>44988</v>
      </c>
      <c r="B46" s="4" t="n">
        <v>8023</v>
      </c>
      <c r="C46" t="n">
        <v>0</v>
      </c>
      <c r="D46" t="n">
        <v>7</v>
      </c>
    </row>
    <row r="47">
      <c r="A47" s="3" t="n">
        <v>44991</v>
      </c>
      <c r="B47" s="4" t="n">
        <v>7940</v>
      </c>
      <c r="C47" t="n">
        <v>-1.03</v>
      </c>
      <c r="D47" t="n">
        <v>7</v>
      </c>
    </row>
    <row r="48">
      <c r="A48" s="3" t="n">
        <v>44992</v>
      </c>
      <c r="B48" s="4" t="n">
        <v>7940</v>
      </c>
      <c r="C48" t="n">
        <v>0</v>
      </c>
      <c r="D48" t="n">
        <v>7</v>
      </c>
    </row>
    <row r="49">
      <c r="A49" s="3" t="n">
        <v>44993</v>
      </c>
      <c r="B49" s="4" t="n">
        <v>7940</v>
      </c>
      <c r="C49" t="n">
        <v>0</v>
      </c>
      <c r="D49" t="n">
        <v>7</v>
      </c>
    </row>
    <row r="50">
      <c r="A50" s="3" t="n">
        <v>44994</v>
      </c>
      <c r="B50" s="4" t="n">
        <v>7353</v>
      </c>
      <c r="C50" t="n">
        <v>-7.39</v>
      </c>
      <c r="D50" t="n">
        <v>7</v>
      </c>
    </row>
    <row r="51">
      <c r="A51" s="3" t="n">
        <v>44995</v>
      </c>
      <c r="B51" s="4" t="n">
        <v>7353</v>
      </c>
      <c r="C51" t="n">
        <v>0</v>
      </c>
      <c r="D51" t="n">
        <v>7</v>
      </c>
    </row>
    <row r="52">
      <c r="A52" s="3" t="n">
        <v>44998</v>
      </c>
      <c r="B52" s="4" t="n">
        <v>7353</v>
      </c>
      <c r="C52" t="n">
        <v>0</v>
      </c>
      <c r="D52" t="n">
        <v>7</v>
      </c>
    </row>
    <row r="53">
      <c r="A53" s="3" t="n">
        <v>44999</v>
      </c>
      <c r="B53" s="4" t="n">
        <v>7477</v>
      </c>
      <c r="C53" t="n">
        <v>1.69</v>
      </c>
      <c r="D53" t="n">
        <v>7</v>
      </c>
    </row>
    <row r="54">
      <c r="A54" s="3" t="n">
        <v>45000</v>
      </c>
      <c r="B54" s="4" t="n">
        <v>7477</v>
      </c>
      <c r="C54" t="n">
        <v>0</v>
      </c>
      <c r="D54" t="n">
        <v>7</v>
      </c>
    </row>
    <row r="55">
      <c r="A55" s="3" t="n">
        <v>45001</v>
      </c>
      <c r="B55" s="4" t="n">
        <v>7007</v>
      </c>
      <c r="C55" t="n">
        <v>-6.29</v>
      </c>
      <c r="D55" t="n">
        <v>7</v>
      </c>
    </row>
    <row r="56">
      <c r="A56" s="3" t="n">
        <v>45002</v>
      </c>
      <c r="B56" s="4" t="n">
        <v>7007</v>
      </c>
      <c r="C56" t="n">
        <v>0</v>
      </c>
      <c r="D56" t="n">
        <v>7</v>
      </c>
    </row>
    <row r="57">
      <c r="A57" s="3" t="n">
        <v>45005</v>
      </c>
      <c r="B57" s="4" t="n">
        <v>7007</v>
      </c>
      <c r="C57" t="n">
        <v>0</v>
      </c>
      <c r="D57" t="n">
        <v>7</v>
      </c>
    </row>
    <row r="58">
      <c r="A58" s="3" t="n">
        <v>45006</v>
      </c>
      <c r="B58" s="4" t="n">
        <v>7007</v>
      </c>
      <c r="C58" t="n">
        <v>0</v>
      </c>
      <c r="D58" t="n">
        <v>7</v>
      </c>
    </row>
    <row r="59">
      <c r="A59" s="3" t="n">
        <v>45007</v>
      </c>
      <c r="B59" s="4" t="n">
        <v>7007</v>
      </c>
      <c r="C59" t="n">
        <v>0</v>
      </c>
      <c r="D59" t="n">
        <v>7</v>
      </c>
    </row>
    <row r="60">
      <c r="A60" s="3" t="n">
        <v>45008</v>
      </c>
      <c r="B60" s="4" t="n">
        <v>7263</v>
      </c>
      <c r="C60" t="n">
        <v>3.65</v>
      </c>
      <c r="D60" t="n">
        <v>7</v>
      </c>
    </row>
    <row r="61">
      <c r="A61" s="3" t="n">
        <v>45009</v>
      </c>
      <c r="B61" s="4" t="n">
        <v>7263</v>
      </c>
      <c r="C61" t="n">
        <v>0</v>
      </c>
      <c r="D61" t="n">
        <v>7</v>
      </c>
    </row>
    <row r="62">
      <c r="A62" s="3" t="n">
        <v>45012</v>
      </c>
      <c r="B62" s="4" t="n">
        <v>7263</v>
      </c>
      <c r="C62" t="n">
        <v>0</v>
      </c>
      <c r="D62" t="n">
        <v>7</v>
      </c>
    </row>
    <row r="63">
      <c r="A63" s="3" t="n">
        <v>45013</v>
      </c>
      <c r="B63" s="4" t="n">
        <v>7263</v>
      </c>
      <c r="C63" t="n">
        <v>0</v>
      </c>
      <c r="D63" t="n">
        <v>7</v>
      </c>
    </row>
    <row r="64">
      <c r="A64" s="3" t="n">
        <v>45014</v>
      </c>
      <c r="B64" s="4" t="n">
        <v>7263</v>
      </c>
      <c r="C64" t="n">
        <v>0</v>
      </c>
      <c r="D64" t="n">
        <v>7</v>
      </c>
    </row>
    <row r="65">
      <c r="A65" s="3" t="n">
        <v>45015</v>
      </c>
      <c r="B65" s="4" t="n">
        <v>7263</v>
      </c>
      <c r="C65" t="n">
        <v>0</v>
      </c>
      <c r="D65" t="n">
        <v>7</v>
      </c>
    </row>
    <row r="66">
      <c r="A66" s="3" t="n">
        <v>45016</v>
      </c>
      <c r="B66" s="4" t="n">
        <v>7597</v>
      </c>
      <c r="C66" t="n">
        <v>4.6</v>
      </c>
      <c r="D66" t="n">
        <v>7</v>
      </c>
    </row>
    <row r="67">
      <c r="A67" s="3" t="n">
        <v>45019</v>
      </c>
      <c r="B67" s="4" t="n">
        <v>7597</v>
      </c>
      <c r="C67" t="n">
        <v>0</v>
      </c>
      <c r="D67" t="n">
        <v>7</v>
      </c>
    </row>
    <row r="68">
      <c r="A68" s="3" t="n">
        <v>45020</v>
      </c>
      <c r="B68" s="4" t="n">
        <v>7597</v>
      </c>
      <c r="C68" t="n">
        <v>0</v>
      </c>
      <c r="D68" t="n">
        <v>7</v>
      </c>
    </row>
    <row r="69">
      <c r="A69" s="3" t="n">
        <v>45021</v>
      </c>
      <c r="B69" s="4" t="n">
        <v>7597</v>
      </c>
      <c r="C69" t="n">
        <v>0</v>
      </c>
      <c r="D69" t="n">
        <v>7</v>
      </c>
    </row>
    <row r="70">
      <c r="A70" s="3" t="n">
        <v>45022</v>
      </c>
      <c r="B70" s="4" t="n">
        <v>6750</v>
      </c>
      <c r="C70" t="n">
        <v>-11.15</v>
      </c>
      <c r="D70" t="n">
        <v>7</v>
      </c>
    </row>
    <row r="71">
      <c r="A71" s="3" t="n">
        <v>45023</v>
      </c>
      <c r="B71" s="4" t="n">
        <v>6750</v>
      </c>
      <c r="C71" t="n">
        <v>0</v>
      </c>
      <c r="D71" t="n">
        <v>7</v>
      </c>
    </row>
    <row r="72">
      <c r="A72" s="3" t="n">
        <v>45026</v>
      </c>
      <c r="B72" s="4" t="n">
        <v>6460</v>
      </c>
      <c r="C72" t="n">
        <v>-4.3</v>
      </c>
      <c r="D72" t="n">
        <v>7</v>
      </c>
    </row>
    <row r="73">
      <c r="A73" s="3" t="n">
        <v>45027</v>
      </c>
      <c r="B73" s="4" t="n">
        <v>6460</v>
      </c>
      <c r="C73" t="n">
        <v>0</v>
      </c>
      <c r="D73" t="n">
        <v>7</v>
      </c>
    </row>
    <row r="74">
      <c r="A74" s="3" t="n">
        <v>45028</v>
      </c>
      <c r="B74" s="4" t="n">
        <v>6460</v>
      </c>
      <c r="C74" t="n">
        <v>0</v>
      </c>
      <c r="D74" t="n">
        <v>7</v>
      </c>
    </row>
    <row r="75">
      <c r="A75" s="3" t="n">
        <v>45029</v>
      </c>
      <c r="B75" s="4" t="n">
        <v>6460</v>
      </c>
      <c r="C75" t="n">
        <v>0</v>
      </c>
      <c r="D75" t="n">
        <v>7</v>
      </c>
    </row>
    <row r="76">
      <c r="A76" s="3" t="n">
        <v>45030</v>
      </c>
      <c r="B76" s="4" t="n">
        <v>6460</v>
      </c>
      <c r="C76" t="n">
        <v>0</v>
      </c>
      <c r="D76" t="n">
        <v>7</v>
      </c>
    </row>
    <row r="77">
      <c r="A77" s="3" t="n">
        <v>45033</v>
      </c>
      <c r="B77" s="4" t="n">
        <v>6460</v>
      </c>
      <c r="C77" t="n">
        <v>0</v>
      </c>
      <c r="D77" t="n">
        <v>7</v>
      </c>
    </row>
    <row r="78">
      <c r="A78" s="3" t="n">
        <v>45034</v>
      </c>
      <c r="B78" s="4" t="n">
        <v>6460</v>
      </c>
      <c r="C78" t="n">
        <v>0</v>
      </c>
      <c r="D78" t="n">
        <v>7</v>
      </c>
    </row>
    <row r="79">
      <c r="A79" s="3" t="n">
        <v>45035</v>
      </c>
      <c r="B79" s="4" t="n">
        <v>6377</v>
      </c>
      <c r="C79" t="n">
        <v>-1.28</v>
      </c>
      <c r="D79" t="n">
        <v>7</v>
      </c>
    </row>
    <row r="80">
      <c r="A80" s="3" t="n">
        <v>45036</v>
      </c>
      <c r="B80" s="4" t="n">
        <v>5787</v>
      </c>
      <c r="C80" t="n">
        <v>-9.25</v>
      </c>
      <c r="D80" t="n">
        <v>7</v>
      </c>
    </row>
    <row r="81">
      <c r="A81" s="3" t="n">
        <v>45037</v>
      </c>
      <c r="B81" s="4" t="n">
        <v>5787</v>
      </c>
      <c r="C81" t="n">
        <v>0</v>
      </c>
      <c r="D81" t="n">
        <v>7</v>
      </c>
    </row>
    <row r="82">
      <c r="A82" s="3" t="n">
        <v>45040</v>
      </c>
      <c r="B82" s="4" t="n">
        <v>5787</v>
      </c>
      <c r="C82" t="n">
        <v>0</v>
      </c>
      <c r="D82" t="n">
        <v>7</v>
      </c>
    </row>
    <row r="83">
      <c r="A83" s="3" t="n">
        <v>45041</v>
      </c>
      <c r="B83" s="4" t="n">
        <v>5787</v>
      </c>
      <c r="C83" t="n">
        <v>0</v>
      </c>
      <c r="D83" t="n">
        <v>7</v>
      </c>
    </row>
    <row r="84">
      <c r="A84" s="3" t="n">
        <v>45042</v>
      </c>
      <c r="B84" s="4" t="n">
        <v>5660</v>
      </c>
      <c r="C84" t="n">
        <v>-2.19</v>
      </c>
      <c r="D84" t="n">
        <v>7</v>
      </c>
    </row>
    <row r="85">
      <c r="A85" s="3" t="n">
        <v>45043</v>
      </c>
      <c r="B85" s="4" t="n">
        <v>5660</v>
      </c>
      <c r="C85" t="n">
        <v>0</v>
      </c>
      <c r="D85" t="n">
        <v>7</v>
      </c>
    </row>
    <row r="86">
      <c r="A86" s="3" t="n">
        <v>45044</v>
      </c>
      <c r="B86" s="4" t="n">
        <v>5660</v>
      </c>
      <c r="C86" t="n">
        <v>0</v>
      </c>
      <c r="D86" t="n">
        <v>7</v>
      </c>
    </row>
    <row r="87">
      <c r="A87" s="3" t="n">
        <v>45048</v>
      </c>
      <c r="B87" s="4" t="n">
        <v>5660</v>
      </c>
      <c r="C87" t="n">
        <v>0</v>
      </c>
      <c r="D87" t="n">
        <v>7</v>
      </c>
    </row>
    <row r="88">
      <c r="A88" s="3" t="n">
        <v>45049</v>
      </c>
      <c r="B88" s="4" t="n">
        <v>5660</v>
      </c>
      <c r="C88" t="n">
        <v>0</v>
      </c>
      <c r="D88" t="n">
        <v>7</v>
      </c>
    </row>
    <row r="89">
      <c r="A89" s="3" t="n">
        <v>45050</v>
      </c>
      <c r="B89" s="4" t="n">
        <v>5660</v>
      </c>
      <c r="C89" t="n">
        <v>0</v>
      </c>
      <c r="D89" t="n">
        <v>7</v>
      </c>
    </row>
    <row r="90">
      <c r="A90" s="3" t="n">
        <v>45054</v>
      </c>
      <c r="B90" s="4" t="n">
        <v>5620</v>
      </c>
      <c r="C90" t="n">
        <v>-0.71</v>
      </c>
      <c r="D90" t="n">
        <v>7</v>
      </c>
    </row>
    <row r="91">
      <c r="A91" s="3" t="n">
        <v>45055</v>
      </c>
      <c r="B91" s="4" t="n">
        <v>5620</v>
      </c>
      <c r="C91" t="n">
        <v>0</v>
      </c>
      <c r="D91" t="n">
        <v>7</v>
      </c>
    </row>
    <row r="92">
      <c r="A92" s="3" t="n">
        <v>45056</v>
      </c>
      <c r="B92" s="4" t="n">
        <v>5620</v>
      </c>
      <c r="C92" t="n">
        <v>0</v>
      </c>
      <c r="D92" t="n">
        <v>7</v>
      </c>
    </row>
    <row r="93">
      <c r="A93" s="3" t="n">
        <v>45057</v>
      </c>
      <c r="B93" s="4" t="n">
        <v>5537</v>
      </c>
      <c r="C93" t="n">
        <v>-1.48</v>
      </c>
      <c r="D93" t="n">
        <v>7</v>
      </c>
    </row>
    <row r="94">
      <c r="A94" s="3" t="n">
        <v>45058</v>
      </c>
      <c r="B94" s="4" t="n">
        <v>5537</v>
      </c>
      <c r="C94" t="n">
        <v>0</v>
      </c>
      <c r="D94" t="n">
        <v>7</v>
      </c>
    </row>
    <row r="95">
      <c r="A95" s="3" t="n">
        <v>45061</v>
      </c>
      <c r="B95" s="4" t="n">
        <v>5537</v>
      </c>
      <c r="C95" t="n">
        <v>0</v>
      </c>
      <c r="D95" t="n">
        <v>7</v>
      </c>
    </row>
    <row r="96">
      <c r="A96" s="3" t="n">
        <v>45062</v>
      </c>
      <c r="B96" s="4" t="n">
        <v>5537</v>
      </c>
      <c r="C96" t="n">
        <v>0</v>
      </c>
      <c r="D96" t="n">
        <v>7</v>
      </c>
    </row>
    <row r="97">
      <c r="A97" s="3" t="n">
        <v>45063</v>
      </c>
      <c r="B97" s="4" t="n">
        <v>5537</v>
      </c>
      <c r="C97" t="n">
        <v>0</v>
      </c>
      <c r="D97" t="n">
        <v>7</v>
      </c>
    </row>
    <row r="98">
      <c r="A98" s="3" t="n">
        <v>45064</v>
      </c>
      <c r="B98" s="4" t="n">
        <v>4873</v>
      </c>
      <c r="C98" t="n">
        <v>-11.99</v>
      </c>
      <c r="D98" t="n">
        <v>7</v>
      </c>
    </row>
    <row r="99">
      <c r="A99" s="3" t="n">
        <v>45065</v>
      </c>
      <c r="B99" s="4" t="n">
        <v>4873</v>
      </c>
      <c r="C99" t="n">
        <v>0</v>
      </c>
      <c r="D99" t="n">
        <v>7</v>
      </c>
    </row>
    <row r="100">
      <c r="A100" s="3" t="n">
        <v>45068</v>
      </c>
      <c r="B100" s="4" t="n">
        <v>4873</v>
      </c>
      <c r="C100" t="n">
        <v>0</v>
      </c>
      <c r="D100" t="n">
        <v>7</v>
      </c>
    </row>
    <row r="101">
      <c r="A101" s="3" t="n">
        <v>45069</v>
      </c>
      <c r="B101" s="4" t="n">
        <v>4873</v>
      </c>
      <c r="C101" t="n">
        <v>0</v>
      </c>
      <c r="D101" t="n">
        <v>7</v>
      </c>
    </row>
    <row r="102">
      <c r="A102" s="3" t="n">
        <v>45070</v>
      </c>
      <c r="B102" s="4" t="n">
        <v>4873</v>
      </c>
      <c r="C102" t="n">
        <v>0</v>
      </c>
      <c r="D102" t="n">
        <v>7</v>
      </c>
    </row>
    <row r="103">
      <c r="A103" s="3" t="n">
        <v>45071</v>
      </c>
      <c r="B103" s="4" t="n">
        <v>4687</v>
      </c>
      <c r="C103" t="n">
        <v>-3.82</v>
      </c>
      <c r="D103" t="n">
        <v>8</v>
      </c>
    </row>
    <row r="104">
      <c r="A104" s="3" t="n">
        <v>45072</v>
      </c>
      <c r="B104" s="4" t="n">
        <v>4687</v>
      </c>
      <c r="C104" t="n">
        <v>0</v>
      </c>
      <c r="D104" t="n">
        <v>8</v>
      </c>
    </row>
    <row r="105">
      <c r="A105" s="3" t="n">
        <v>45076</v>
      </c>
      <c r="B105" s="4" t="n">
        <v>4687</v>
      </c>
      <c r="C105" t="n">
        <v>0</v>
      </c>
      <c r="D105" t="n">
        <v>8</v>
      </c>
    </row>
    <row r="106">
      <c r="A106" s="3" t="n">
        <v>45077</v>
      </c>
      <c r="B106" s="4" t="n">
        <v>4687</v>
      </c>
      <c r="C106" t="n">
        <v>0</v>
      </c>
      <c r="D106" t="n">
        <v>8</v>
      </c>
    </row>
    <row r="107">
      <c r="A107" s="3" t="n">
        <v>45078</v>
      </c>
      <c r="B107" s="4" t="n">
        <v>4173</v>
      </c>
      <c r="C107" t="n">
        <v>-10.97</v>
      </c>
      <c r="D107" t="n">
        <v>8</v>
      </c>
    </row>
    <row r="108">
      <c r="A108" s="3" t="n">
        <v>45079</v>
      </c>
      <c r="B108" s="4" t="n">
        <v>4090</v>
      </c>
      <c r="C108" t="n">
        <v>-1.99</v>
      </c>
      <c r="D108" t="n">
        <v>8</v>
      </c>
    </row>
    <row r="109">
      <c r="A109" s="3" t="n">
        <v>45082</v>
      </c>
      <c r="B109" s="4" t="n">
        <v>4090</v>
      </c>
      <c r="C109" t="n">
        <v>0</v>
      </c>
      <c r="D109" t="n">
        <v>8</v>
      </c>
    </row>
    <row r="110">
      <c r="A110" s="3" t="n">
        <v>45084</v>
      </c>
      <c r="B110" s="4" t="n">
        <v>4090</v>
      </c>
      <c r="C110" t="n">
        <v>0</v>
      </c>
      <c r="D110" t="n">
        <v>8</v>
      </c>
    </row>
    <row r="111">
      <c r="A111" s="3" t="n">
        <v>45085</v>
      </c>
      <c r="B111" s="4" t="n">
        <v>4277</v>
      </c>
      <c r="C111" t="n">
        <v>4.57</v>
      </c>
      <c r="D111" t="n">
        <v>8</v>
      </c>
    </row>
    <row r="112">
      <c r="A112" s="3" t="n">
        <v>45086</v>
      </c>
      <c r="B112" s="4" t="n">
        <v>4277</v>
      </c>
      <c r="C112" t="n">
        <v>0</v>
      </c>
      <c r="D112" t="n">
        <v>8</v>
      </c>
    </row>
    <row r="113">
      <c r="A113" s="3" t="n">
        <v>45089</v>
      </c>
      <c r="B113" s="4" t="n">
        <v>4277</v>
      </c>
      <c r="C113" t="n">
        <v>0</v>
      </c>
      <c r="D113" t="n">
        <v>8</v>
      </c>
    </row>
    <row r="114">
      <c r="A114" s="3" t="n">
        <v>45090</v>
      </c>
      <c r="B114" s="4" t="n">
        <v>4277</v>
      </c>
      <c r="C114" t="n">
        <v>0</v>
      </c>
      <c r="D114" t="n">
        <v>8</v>
      </c>
    </row>
    <row r="115">
      <c r="A115" s="3" t="n">
        <v>45091</v>
      </c>
      <c r="B115" s="4" t="n">
        <v>4277</v>
      </c>
      <c r="C115" t="n">
        <v>0</v>
      </c>
      <c r="D115" t="n">
        <v>8</v>
      </c>
    </row>
    <row r="116">
      <c r="A116" s="3" t="n">
        <v>45092</v>
      </c>
      <c r="B116" s="4" t="n">
        <v>4700</v>
      </c>
      <c r="C116" t="n">
        <v>9.890000000000001</v>
      </c>
      <c r="D116" t="n">
        <v>8</v>
      </c>
    </row>
    <row r="117">
      <c r="A117" s="3" t="n">
        <v>45093</v>
      </c>
      <c r="B117" s="4" t="n">
        <v>4700</v>
      </c>
      <c r="C117" t="n">
        <v>0</v>
      </c>
      <c r="D117" t="n">
        <v>8</v>
      </c>
    </row>
    <row r="118">
      <c r="A118" s="3" t="n">
        <v>45096</v>
      </c>
      <c r="B118" s="4" t="n">
        <v>4700</v>
      </c>
      <c r="C118" t="n">
        <v>0</v>
      </c>
      <c r="D118" t="n">
        <v>8</v>
      </c>
    </row>
    <row r="119">
      <c r="A119" s="3" t="n">
        <v>45097</v>
      </c>
      <c r="B119" s="4" t="n">
        <v>4700</v>
      </c>
      <c r="C119" t="n">
        <v>0</v>
      </c>
      <c r="D119" t="n">
        <v>8</v>
      </c>
    </row>
    <row r="120">
      <c r="A120" s="3" t="n">
        <v>45098</v>
      </c>
      <c r="B120" s="4" t="n">
        <v>4443</v>
      </c>
      <c r="C120" t="n">
        <v>-5.47</v>
      </c>
      <c r="D120" t="n">
        <v>8</v>
      </c>
    </row>
    <row r="121">
      <c r="A121" s="3" t="n">
        <v>45099</v>
      </c>
      <c r="B121" s="4" t="n">
        <v>4700</v>
      </c>
      <c r="C121" t="n">
        <v>5.78</v>
      </c>
      <c r="D121" t="n">
        <v>8</v>
      </c>
    </row>
    <row r="122">
      <c r="A122" s="3" t="n">
        <v>45100</v>
      </c>
      <c r="B122" s="4" t="n">
        <v>4740</v>
      </c>
      <c r="C122" t="n">
        <v>0.85</v>
      </c>
      <c r="D122" t="n">
        <v>8</v>
      </c>
    </row>
    <row r="123">
      <c r="A123" s="3" t="n">
        <v>45103</v>
      </c>
      <c r="B123" s="4" t="n">
        <v>4700</v>
      </c>
      <c r="C123" t="n">
        <v>-0.84</v>
      </c>
      <c r="D123" t="n">
        <v>8</v>
      </c>
    </row>
    <row r="124">
      <c r="A124" s="3" t="n">
        <v>45104</v>
      </c>
      <c r="B124" s="4" t="n">
        <v>4700</v>
      </c>
      <c r="C124" t="n">
        <v>0</v>
      </c>
      <c r="D124" t="n">
        <v>8</v>
      </c>
    </row>
    <row r="125">
      <c r="A125" s="3" t="n">
        <v>45105</v>
      </c>
      <c r="B125" s="4" t="n">
        <v>4700</v>
      </c>
      <c r="C125" t="n">
        <v>0</v>
      </c>
      <c r="D125" t="n">
        <v>8</v>
      </c>
    </row>
    <row r="126">
      <c r="A126" s="3" t="n">
        <v>45106</v>
      </c>
      <c r="B126" s="4" t="n">
        <v>4700</v>
      </c>
      <c r="C126" t="n">
        <v>0</v>
      </c>
      <c r="D126" t="n">
        <v>8</v>
      </c>
    </row>
    <row r="127">
      <c r="A127" s="3" t="n">
        <v>45107</v>
      </c>
      <c r="B127" s="4" t="n">
        <v>4850</v>
      </c>
      <c r="C127" t="n">
        <v>3.19</v>
      </c>
      <c r="D127" t="n">
        <v>8</v>
      </c>
    </row>
    <row r="128">
      <c r="A128" s="3" t="n">
        <v>45110</v>
      </c>
      <c r="B128" s="4" t="n">
        <v>5067</v>
      </c>
      <c r="C128" t="n">
        <v>4.47</v>
      </c>
      <c r="D128" t="n">
        <v>8</v>
      </c>
    </row>
    <row r="129">
      <c r="A129" s="3" t="n">
        <v>45111</v>
      </c>
      <c r="B129" s="4" t="n">
        <v>5067</v>
      </c>
      <c r="C129" t="n">
        <v>0</v>
      </c>
      <c r="D129" t="n">
        <v>8</v>
      </c>
    </row>
    <row r="130">
      <c r="A130" s="3" t="n">
        <v>45112</v>
      </c>
      <c r="B130" s="4" t="n">
        <v>5107</v>
      </c>
      <c r="C130" t="n">
        <v>0.79</v>
      </c>
      <c r="D130" t="n">
        <v>8</v>
      </c>
    </row>
    <row r="131">
      <c r="A131" s="3" t="n">
        <v>45113</v>
      </c>
      <c r="B131" s="4" t="n">
        <v>5460</v>
      </c>
      <c r="C131" t="n">
        <v>6.91</v>
      </c>
      <c r="D131" t="n">
        <v>8</v>
      </c>
    </row>
    <row r="132">
      <c r="A132" s="3" t="n">
        <v>45114</v>
      </c>
      <c r="B132" s="4" t="n">
        <v>5460</v>
      </c>
      <c r="C132" t="n">
        <v>0</v>
      </c>
      <c r="D132" t="n">
        <v>8</v>
      </c>
    </row>
    <row r="133">
      <c r="A133" s="3" t="n">
        <v>45117</v>
      </c>
      <c r="B133" s="4" t="n">
        <v>4883</v>
      </c>
      <c r="C133" t="n">
        <v>-10.57</v>
      </c>
      <c r="D133" t="n">
        <v>8</v>
      </c>
    </row>
    <row r="134">
      <c r="A134" s="3" t="n">
        <v>45118</v>
      </c>
      <c r="B134" s="4" t="n">
        <v>4883</v>
      </c>
      <c r="C134" t="n">
        <v>0</v>
      </c>
      <c r="D134" t="n">
        <v>8</v>
      </c>
    </row>
    <row r="135">
      <c r="A135" s="3" t="n">
        <v>45119</v>
      </c>
      <c r="B135" s="4" t="n">
        <v>4883</v>
      </c>
      <c r="C135" t="n">
        <v>0</v>
      </c>
      <c r="D135" t="n">
        <v>8</v>
      </c>
    </row>
    <row r="136">
      <c r="A136" s="3" t="n">
        <v>45120</v>
      </c>
      <c r="B136" s="4" t="n">
        <v>4883</v>
      </c>
      <c r="C136" t="n">
        <v>0</v>
      </c>
      <c r="D136" t="n">
        <v>8</v>
      </c>
    </row>
    <row r="137">
      <c r="A137" s="3" t="n">
        <v>45121</v>
      </c>
      <c r="B137" s="4" t="n">
        <v>7090</v>
      </c>
      <c r="C137" t="n">
        <v>45.2</v>
      </c>
      <c r="D137" t="n">
        <v>8</v>
      </c>
    </row>
    <row r="138">
      <c r="A138" s="3" t="n">
        <v>45124</v>
      </c>
      <c r="B138" s="4" t="n">
        <v>7090</v>
      </c>
      <c r="C138" t="n">
        <v>0</v>
      </c>
      <c r="D138" t="n">
        <v>8</v>
      </c>
    </row>
    <row r="139">
      <c r="A139" s="3" t="n">
        <v>45125</v>
      </c>
      <c r="B139" s="4" t="n">
        <v>7090</v>
      </c>
      <c r="C139" t="n">
        <v>0</v>
      </c>
      <c r="D139" t="n">
        <v>8</v>
      </c>
    </row>
    <row r="140">
      <c r="A140" s="3" t="n">
        <v>45126</v>
      </c>
      <c r="B140" s="4" t="n">
        <v>7090</v>
      </c>
      <c r="C140" t="n">
        <v>0</v>
      </c>
      <c r="D140" t="n">
        <v>8</v>
      </c>
    </row>
    <row r="141">
      <c r="A141" s="3" t="n">
        <v>45127</v>
      </c>
      <c r="B141" s="4" t="n">
        <v>7090</v>
      </c>
      <c r="C141" t="n">
        <v>0</v>
      </c>
      <c r="D141" t="n">
        <v>8</v>
      </c>
    </row>
    <row r="142">
      <c r="A142" s="3" t="n">
        <v>45128</v>
      </c>
      <c r="B142" s="4" t="n">
        <v>7050</v>
      </c>
      <c r="C142" t="n">
        <v>-0.5600000000000001</v>
      </c>
      <c r="D142" t="n">
        <v>8</v>
      </c>
    </row>
    <row r="143">
      <c r="A143" s="3" t="n">
        <v>45131</v>
      </c>
      <c r="B143" s="4" t="n">
        <v>7050</v>
      </c>
      <c r="C143" t="n">
        <v>0</v>
      </c>
      <c r="D143" t="n">
        <v>8</v>
      </c>
    </row>
    <row r="144">
      <c r="A144" s="3" t="n">
        <v>45132</v>
      </c>
      <c r="B144" s="4" t="n">
        <v>7217</v>
      </c>
      <c r="C144" t="n">
        <v>2.37</v>
      </c>
      <c r="D144" t="n">
        <v>8</v>
      </c>
    </row>
    <row r="145">
      <c r="A145" s="3" t="n">
        <v>45133</v>
      </c>
      <c r="B145" s="4" t="n">
        <v>7217</v>
      </c>
      <c r="C145" t="n">
        <v>0</v>
      </c>
      <c r="D145" t="n">
        <v>8</v>
      </c>
    </row>
    <row r="146">
      <c r="A146" s="3" t="n">
        <v>45134</v>
      </c>
      <c r="B146" s="4" t="n">
        <v>6867</v>
      </c>
      <c r="C146" t="n">
        <v>-4.85</v>
      </c>
      <c r="D146" t="n">
        <v>8</v>
      </c>
    </row>
    <row r="147">
      <c r="A147" s="3" t="n">
        <v>45135</v>
      </c>
      <c r="B147" s="4" t="n">
        <v>6907</v>
      </c>
      <c r="C147" t="n">
        <v>0.58</v>
      </c>
      <c r="D147" t="n">
        <v>8</v>
      </c>
    </row>
    <row r="148">
      <c r="A148" s="3" t="n">
        <v>45138</v>
      </c>
      <c r="B148" s="4" t="n">
        <v>6907</v>
      </c>
      <c r="C148" t="n">
        <v>0</v>
      </c>
      <c r="D148" t="n">
        <v>8</v>
      </c>
    </row>
    <row r="149">
      <c r="A149" s="3" t="n">
        <v>45139</v>
      </c>
      <c r="B149" s="4" t="n">
        <v>6907</v>
      </c>
      <c r="C149" t="n">
        <v>0</v>
      </c>
      <c r="D149" t="n">
        <v>8</v>
      </c>
    </row>
    <row r="150">
      <c r="A150" s="3" t="n">
        <v>45140</v>
      </c>
      <c r="B150" s="4" t="n">
        <v>6907</v>
      </c>
      <c r="C150" t="n">
        <v>0</v>
      </c>
      <c r="D150" t="n">
        <v>8</v>
      </c>
    </row>
    <row r="151">
      <c r="A151" s="3" t="n">
        <v>45141</v>
      </c>
      <c r="B151" s="4" t="n">
        <v>6164</v>
      </c>
      <c r="C151" t="n">
        <v>-10.76</v>
      </c>
      <c r="D151" t="n">
        <v>8</v>
      </c>
    </row>
    <row r="152">
      <c r="A152" s="3" t="n">
        <v>45142</v>
      </c>
      <c r="B152" s="4" t="n">
        <v>6164</v>
      </c>
      <c r="C152" t="n">
        <v>0</v>
      </c>
      <c r="D152" t="n">
        <v>8</v>
      </c>
    </row>
    <row r="153">
      <c r="A153" s="3" t="n">
        <v>45145</v>
      </c>
      <c r="B153" s="4" t="n">
        <v>5353</v>
      </c>
      <c r="C153" t="n">
        <v>-13.16</v>
      </c>
      <c r="D153" t="n">
        <v>8</v>
      </c>
    </row>
    <row r="154">
      <c r="A154" s="3" t="n">
        <v>45146</v>
      </c>
      <c r="B154" s="4" t="n">
        <v>5353</v>
      </c>
      <c r="C154" t="n">
        <v>0</v>
      </c>
      <c r="D154" t="n">
        <v>8</v>
      </c>
    </row>
    <row r="155">
      <c r="A155" s="3" t="n">
        <v>45147</v>
      </c>
      <c r="B155" s="4" t="n">
        <v>5353</v>
      </c>
      <c r="C155" t="n">
        <v>0</v>
      </c>
      <c r="D155" t="n">
        <v>8</v>
      </c>
    </row>
    <row r="156">
      <c r="A156" s="3" t="n">
        <v>45148</v>
      </c>
      <c r="B156" s="4" t="n">
        <v>5353</v>
      </c>
      <c r="C156" t="n">
        <v>0</v>
      </c>
      <c r="D156" t="n">
        <v>8</v>
      </c>
    </row>
    <row r="157">
      <c r="A157" s="3" t="n">
        <v>45149</v>
      </c>
      <c r="B157" s="4" t="n">
        <v>5353</v>
      </c>
      <c r="C157" t="n">
        <v>0</v>
      </c>
      <c r="D157" t="n">
        <v>8</v>
      </c>
    </row>
    <row r="158">
      <c r="A158" s="3" t="n">
        <v>45152</v>
      </c>
      <c r="B158" s="4" t="n">
        <v>5353</v>
      </c>
      <c r="C158" t="n">
        <v>0</v>
      </c>
      <c r="D158" t="n">
        <v>8</v>
      </c>
    </row>
    <row r="159">
      <c r="A159" s="3" t="n">
        <v>45154</v>
      </c>
      <c r="B159" s="4" t="n">
        <v>5353</v>
      </c>
      <c r="C159" t="n">
        <v>0</v>
      </c>
      <c r="D159" t="n">
        <v>8</v>
      </c>
    </row>
    <row r="160">
      <c r="A160" s="3" t="n">
        <v>45155</v>
      </c>
      <c r="B160" s="4" t="n">
        <v>7240</v>
      </c>
      <c r="C160" t="n">
        <v>35.25</v>
      </c>
      <c r="D160" t="n">
        <v>8</v>
      </c>
    </row>
    <row r="161">
      <c r="A161" s="3" t="n">
        <v>45156</v>
      </c>
      <c r="B161" s="4" t="n">
        <v>7240</v>
      </c>
      <c r="C161" t="n">
        <v>0</v>
      </c>
      <c r="D161" t="n">
        <v>8</v>
      </c>
    </row>
    <row r="162">
      <c r="A162" s="3" t="n">
        <v>45159</v>
      </c>
      <c r="B162" s="4" t="n">
        <v>7240</v>
      </c>
      <c r="C162" t="n">
        <v>0</v>
      </c>
      <c r="D162" t="n">
        <v>8</v>
      </c>
    </row>
    <row r="163">
      <c r="A163" s="3" t="n">
        <v>45160</v>
      </c>
      <c r="B163" s="4" t="n">
        <v>7323</v>
      </c>
      <c r="C163" t="n">
        <v>1.15</v>
      </c>
      <c r="D163" t="n">
        <v>8</v>
      </c>
    </row>
    <row r="164">
      <c r="A164" s="3" t="n">
        <v>45161</v>
      </c>
      <c r="B164" s="4" t="n">
        <v>7323</v>
      </c>
      <c r="C164" t="n">
        <v>0</v>
      </c>
      <c r="D164" t="n">
        <v>8</v>
      </c>
    </row>
    <row r="165">
      <c r="A165" s="3" t="n">
        <v>45162</v>
      </c>
      <c r="B165" s="4" t="n">
        <v>6903</v>
      </c>
      <c r="C165" t="n">
        <v>-5.74</v>
      </c>
      <c r="D165" t="n">
        <v>8</v>
      </c>
    </row>
    <row r="166">
      <c r="A166" s="3" t="n">
        <v>45163</v>
      </c>
      <c r="B166" s="4" t="n">
        <v>6946</v>
      </c>
      <c r="C166" t="n">
        <v>0.62</v>
      </c>
      <c r="D166" t="n">
        <v>8</v>
      </c>
    </row>
    <row r="167">
      <c r="A167" s="3" t="n">
        <v>45166</v>
      </c>
      <c r="B167" s="4" t="n">
        <v>6946</v>
      </c>
      <c r="C167" t="n">
        <v>0</v>
      </c>
      <c r="D167" t="n">
        <v>8</v>
      </c>
    </row>
    <row r="168">
      <c r="A168" s="3" t="n">
        <v>45167</v>
      </c>
      <c r="B168" s="4" t="n">
        <v>6946</v>
      </c>
      <c r="C168" t="n">
        <v>0</v>
      </c>
      <c r="D168" t="n">
        <v>8</v>
      </c>
    </row>
    <row r="169">
      <c r="A169" s="3" t="n">
        <v>45168</v>
      </c>
      <c r="B169" s="4" t="n">
        <v>6946</v>
      </c>
      <c r="C169" t="n">
        <v>0</v>
      </c>
      <c r="D169" t="n">
        <v>8</v>
      </c>
    </row>
    <row r="170">
      <c r="A170" s="3" t="n">
        <v>45169</v>
      </c>
      <c r="B170" s="4" t="n">
        <v>7893</v>
      </c>
      <c r="C170" t="n">
        <v>13.63</v>
      </c>
      <c r="D170" t="n">
        <v>8</v>
      </c>
    </row>
    <row r="171">
      <c r="A171" s="3" t="n">
        <v>45170</v>
      </c>
      <c r="B171" s="4" t="n">
        <v>7893</v>
      </c>
      <c r="C171" t="n">
        <v>0</v>
      </c>
      <c r="D171" t="n">
        <v>8</v>
      </c>
    </row>
    <row r="172">
      <c r="A172" s="3" t="n">
        <v>45173</v>
      </c>
      <c r="B172" s="4" t="n">
        <v>8183</v>
      </c>
      <c r="C172" t="n">
        <v>3.67</v>
      </c>
      <c r="D172" t="n">
        <v>8</v>
      </c>
    </row>
    <row r="173">
      <c r="A173" s="3" t="n">
        <v>45174</v>
      </c>
      <c r="B173" s="4" t="n">
        <v>8433</v>
      </c>
      <c r="C173" t="n">
        <v>3.06</v>
      </c>
      <c r="D173" t="n">
        <v>8</v>
      </c>
    </row>
    <row r="174">
      <c r="A174" s="3" t="n">
        <v>45175</v>
      </c>
      <c r="B174" s="4" t="n">
        <v>8433</v>
      </c>
      <c r="C174" t="n">
        <v>0</v>
      </c>
      <c r="D174" t="n">
        <v>8</v>
      </c>
    </row>
    <row r="175">
      <c r="A175" s="3" t="n">
        <v>45176</v>
      </c>
      <c r="B175" s="4" t="n">
        <v>9262</v>
      </c>
      <c r="C175" t="n">
        <v>9.83</v>
      </c>
      <c r="D175" t="n">
        <v>8</v>
      </c>
    </row>
    <row r="176">
      <c r="A176" s="3" t="n">
        <v>45177</v>
      </c>
      <c r="B176" s="4" t="n">
        <v>9262</v>
      </c>
      <c r="C176" t="n">
        <v>0</v>
      </c>
      <c r="D176" t="n">
        <v>8</v>
      </c>
    </row>
    <row r="177">
      <c r="A177" s="3" t="n">
        <v>45180</v>
      </c>
      <c r="B177" s="4" t="n">
        <v>9260</v>
      </c>
      <c r="C177" t="n">
        <v>-0.02</v>
      </c>
      <c r="D177" t="n">
        <v>8</v>
      </c>
    </row>
    <row r="178">
      <c r="A178" s="3" t="n">
        <v>45181</v>
      </c>
      <c r="B178" s="4" t="n">
        <v>9303</v>
      </c>
      <c r="C178" t="n">
        <v>0.46</v>
      </c>
      <c r="D178" t="n">
        <v>8</v>
      </c>
    </row>
    <row r="179">
      <c r="A179" s="3" t="n">
        <v>45182</v>
      </c>
      <c r="B179" s="4" t="n">
        <v>9303</v>
      </c>
      <c r="C179" t="n">
        <v>0</v>
      </c>
      <c r="D179" t="n">
        <v>8</v>
      </c>
    </row>
    <row r="180">
      <c r="A180" s="3" t="n">
        <v>45183</v>
      </c>
      <c r="B180" s="4" t="n">
        <v>9583</v>
      </c>
      <c r="C180" t="n">
        <v>3.01</v>
      </c>
      <c r="D180" t="n">
        <v>8</v>
      </c>
    </row>
    <row r="181">
      <c r="A181" s="3" t="n">
        <v>45184</v>
      </c>
      <c r="B181" s="4" t="n">
        <v>9583</v>
      </c>
      <c r="C181" t="n">
        <v>0</v>
      </c>
      <c r="D181" t="n">
        <v>8</v>
      </c>
    </row>
    <row r="182">
      <c r="A182" s="3" t="n">
        <v>45187</v>
      </c>
      <c r="B182" s="4" t="n">
        <v>9500</v>
      </c>
      <c r="C182" t="n">
        <v>-0.87</v>
      </c>
      <c r="D182" t="n">
        <v>8</v>
      </c>
    </row>
    <row r="183">
      <c r="A183" s="3" t="n">
        <v>45188</v>
      </c>
      <c r="B183" s="4" t="n">
        <v>9500</v>
      </c>
      <c r="C183" t="n">
        <v>0</v>
      </c>
      <c r="D183" t="n">
        <v>8</v>
      </c>
    </row>
    <row r="184">
      <c r="A184" s="3" t="n">
        <v>45189</v>
      </c>
      <c r="B184" s="4" t="n">
        <v>9500</v>
      </c>
      <c r="C184" t="n">
        <v>0</v>
      </c>
      <c r="D184" t="n">
        <v>8</v>
      </c>
    </row>
    <row r="185">
      <c r="A185" s="3" t="n">
        <v>45190</v>
      </c>
      <c r="B185" s="4" t="n">
        <v>9130</v>
      </c>
      <c r="C185" t="n">
        <v>-3.89</v>
      </c>
      <c r="D185" t="n">
        <v>8</v>
      </c>
    </row>
    <row r="186">
      <c r="A186" s="3" t="n">
        <v>45191</v>
      </c>
      <c r="B186" s="4" t="n">
        <v>9047</v>
      </c>
      <c r="C186" t="n">
        <v>-0.91</v>
      </c>
      <c r="D186" t="n">
        <v>8</v>
      </c>
    </row>
    <row r="187">
      <c r="A187" s="3" t="n">
        <v>45192</v>
      </c>
      <c r="B187" s="4" t="n">
        <v>9047</v>
      </c>
      <c r="C187" t="n">
        <v>0</v>
      </c>
      <c r="D187" t="n">
        <v>8</v>
      </c>
    </row>
    <row r="188">
      <c r="A188" s="3" t="n">
        <v>45194</v>
      </c>
      <c r="B188" s="4" t="n">
        <v>9047</v>
      </c>
      <c r="C188" t="n">
        <v>0</v>
      </c>
      <c r="D188" t="n">
        <v>8</v>
      </c>
    </row>
    <row r="189">
      <c r="A189" s="3" t="n">
        <v>45195</v>
      </c>
      <c r="B189" s="4" t="n">
        <v>9047</v>
      </c>
      <c r="C189" t="n">
        <v>0</v>
      </c>
      <c r="D189" t="n">
        <v>8</v>
      </c>
    </row>
    <row r="190">
      <c r="A190" s="3" t="n">
        <v>45196</v>
      </c>
      <c r="B190" s="4" t="n">
        <v>9047</v>
      </c>
      <c r="C190" t="n">
        <v>0</v>
      </c>
      <c r="D190" t="n">
        <v>8</v>
      </c>
    </row>
    <row r="191">
      <c r="A191" s="3" t="n">
        <v>45203</v>
      </c>
      <c r="B191" s="4" t="n">
        <v>11540</v>
      </c>
      <c r="C191" t="n">
        <v>27.56</v>
      </c>
      <c r="D191" t="n">
        <v>8</v>
      </c>
    </row>
    <row r="192">
      <c r="A192" s="3" t="n">
        <v>45204</v>
      </c>
      <c r="B192" s="4" t="n">
        <v>10610</v>
      </c>
      <c r="C192" t="n">
        <v>-8.06</v>
      </c>
      <c r="D192" t="n">
        <v>8</v>
      </c>
    </row>
    <row r="193">
      <c r="A193" s="3" t="n">
        <v>45205</v>
      </c>
      <c r="B193" s="4" t="n">
        <v>10527</v>
      </c>
      <c r="C193" t="n">
        <v>-0.78</v>
      </c>
      <c r="D193" t="n">
        <v>8</v>
      </c>
    </row>
    <row r="194">
      <c r="A194" s="3" t="n">
        <v>45209</v>
      </c>
      <c r="B194" s="4" t="n">
        <v>10527</v>
      </c>
      <c r="C194" t="n">
        <v>0</v>
      </c>
      <c r="D194" t="n">
        <v>8</v>
      </c>
    </row>
    <row r="195">
      <c r="A195" s="3" t="n">
        <v>45210</v>
      </c>
      <c r="B195" s="4" t="n">
        <v>10403</v>
      </c>
      <c r="C195" t="n">
        <v>-1.18</v>
      </c>
      <c r="D195" t="n">
        <v>8</v>
      </c>
    </row>
    <row r="196">
      <c r="A196" s="3" t="n">
        <v>45211</v>
      </c>
      <c r="B196" s="4" t="n">
        <v>10137</v>
      </c>
      <c r="C196" t="n">
        <v>-2.56</v>
      </c>
      <c r="D196" t="n">
        <v>8</v>
      </c>
    </row>
    <row r="197">
      <c r="A197" s="3" t="n">
        <v>45212</v>
      </c>
      <c r="B197" s="4" t="n">
        <v>10137</v>
      </c>
      <c r="C197" t="n">
        <v>0</v>
      </c>
      <c r="D197" t="n">
        <v>8</v>
      </c>
    </row>
    <row r="198">
      <c r="A198" s="3" t="n">
        <v>45215</v>
      </c>
      <c r="B198" s="4" t="n">
        <v>10470</v>
      </c>
      <c r="C198" t="n">
        <v>3.28</v>
      </c>
      <c r="D198" t="n">
        <v>8</v>
      </c>
    </row>
    <row r="199">
      <c r="A199" s="3" t="n">
        <v>45216</v>
      </c>
      <c r="B199" s="4" t="n">
        <v>10470</v>
      </c>
      <c r="C199" t="n">
        <v>0</v>
      </c>
      <c r="D199" t="n">
        <v>8</v>
      </c>
    </row>
    <row r="200">
      <c r="A200" s="3" t="n">
        <v>45217</v>
      </c>
      <c r="B200" s="4" t="n">
        <v>10803</v>
      </c>
      <c r="C200" t="n">
        <v>3.18</v>
      </c>
      <c r="D200" t="n">
        <v>8</v>
      </c>
    </row>
    <row r="201">
      <c r="A201" s="3" t="n">
        <v>45218</v>
      </c>
      <c r="B201" s="4" t="n">
        <v>13307</v>
      </c>
      <c r="C201" t="n">
        <v>23.18</v>
      </c>
      <c r="D201" t="n">
        <v>8</v>
      </c>
    </row>
    <row r="202">
      <c r="A202" s="3" t="n">
        <v>45219</v>
      </c>
      <c r="B202" s="4" t="n">
        <v>13407</v>
      </c>
      <c r="C202" t="n">
        <v>0.75</v>
      </c>
      <c r="D202" t="n">
        <v>8</v>
      </c>
    </row>
    <row r="203">
      <c r="A203" s="3" t="n">
        <v>45222</v>
      </c>
      <c r="B203" s="4" t="n">
        <v>13407</v>
      </c>
      <c r="C203" t="n">
        <v>0</v>
      </c>
      <c r="D203" t="n">
        <v>8</v>
      </c>
    </row>
    <row r="204">
      <c r="A204" s="3" t="n">
        <v>45223</v>
      </c>
      <c r="B204" s="4" t="n">
        <v>13407</v>
      </c>
      <c r="C204" t="n">
        <v>0</v>
      </c>
      <c r="D204" t="n">
        <v>8</v>
      </c>
    </row>
    <row r="205">
      <c r="A205" s="3" t="n">
        <v>45224</v>
      </c>
      <c r="B205" s="4" t="n">
        <v>13407</v>
      </c>
      <c r="C205" t="n">
        <v>0</v>
      </c>
      <c r="D205" t="n">
        <v>8</v>
      </c>
    </row>
    <row r="206">
      <c r="A206" s="3" t="n">
        <v>45225</v>
      </c>
      <c r="B206" s="4" t="n">
        <v>12643</v>
      </c>
      <c r="C206" t="n">
        <v>-5.7</v>
      </c>
      <c r="D206" t="n">
        <v>8</v>
      </c>
    </row>
    <row r="207">
      <c r="A207" s="3" t="n">
        <v>45226</v>
      </c>
      <c r="B207" s="4" t="n">
        <v>12643</v>
      </c>
      <c r="C207" t="n">
        <v>0</v>
      </c>
      <c r="D207" t="n">
        <v>8</v>
      </c>
    </row>
    <row r="208">
      <c r="A208" s="3" t="n">
        <v>45229</v>
      </c>
      <c r="B208" s="4" t="n">
        <v>12643</v>
      </c>
      <c r="C208" t="n">
        <v>0</v>
      </c>
      <c r="D208" t="n">
        <v>8</v>
      </c>
    </row>
    <row r="209">
      <c r="A209" s="3" t="n">
        <v>45230</v>
      </c>
      <c r="B209" s="4" t="n">
        <v>12643</v>
      </c>
      <c r="C209" t="n">
        <v>0</v>
      </c>
      <c r="D209" t="n">
        <v>8</v>
      </c>
    </row>
    <row r="210">
      <c r="A210" s="3" t="n">
        <v>45231</v>
      </c>
      <c r="B210" s="4" t="n">
        <v>12610</v>
      </c>
      <c r="C210" t="n">
        <v>-0.26</v>
      </c>
      <c r="D210" t="n">
        <v>8</v>
      </c>
    </row>
    <row r="211">
      <c r="A211" s="3" t="n">
        <v>45232</v>
      </c>
      <c r="B211" s="4" t="n">
        <v>10913</v>
      </c>
      <c r="C211" t="n">
        <v>-13.46</v>
      </c>
      <c r="D211" t="n">
        <v>9</v>
      </c>
    </row>
    <row r="212">
      <c r="A212" s="3" t="n">
        <v>45233</v>
      </c>
      <c r="B212" s="4" t="n">
        <v>10347</v>
      </c>
      <c r="C212" t="n">
        <v>-5.19</v>
      </c>
      <c r="D212" t="n">
        <v>9</v>
      </c>
    </row>
    <row r="213">
      <c r="A213" s="3" t="n">
        <v>45236</v>
      </c>
      <c r="B213" s="4" t="n">
        <v>10347</v>
      </c>
      <c r="C213" t="n">
        <v>0</v>
      </c>
      <c r="D213" t="n">
        <v>9</v>
      </c>
    </row>
    <row r="214">
      <c r="A214" s="3" t="n">
        <v>45237</v>
      </c>
      <c r="B214" s="4" t="n">
        <v>10347</v>
      </c>
      <c r="C214" t="n">
        <v>0</v>
      </c>
      <c r="D214" t="n">
        <v>9</v>
      </c>
    </row>
    <row r="215">
      <c r="A215" s="3" t="n">
        <v>45238</v>
      </c>
      <c r="B215" s="4" t="n">
        <v>10347</v>
      </c>
      <c r="C215" t="n">
        <v>0</v>
      </c>
      <c r="D215" t="n">
        <v>9</v>
      </c>
    </row>
    <row r="216">
      <c r="A216" s="3" t="n">
        <v>45239</v>
      </c>
      <c r="B216" s="4" t="n">
        <v>9780</v>
      </c>
      <c r="C216" t="n">
        <v>-5.48</v>
      </c>
      <c r="D216" t="n">
        <v>9</v>
      </c>
    </row>
    <row r="217">
      <c r="A217" s="3" t="n">
        <v>45240</v>
      </c>
      <c r="B217" s="4" t="n">
        <v>9780</v>
      </c>
      <c r="C217" t="n">
        <v>0</v>
      </c>
      <c r="D217" t="n">
        <v>9</v>
      </c>
    </row>
    <row r="218">
      <c r="A218" s="3" t="n">
        <v>45243</v>
      </c>
      <c r="B218" s="4" t="n">
        <v>9363</v>
      </c>
      <c r="C218" t="n">
        <v>-4.26</v>
      </c>
      <c r="D218" t="n">
        <v>9</v>
      </c>
    </row>
    <row r="219">
      <c r="A219" s="3" t="n">
        <v>45244</v>
      </c>
      <c r="B219" s="4" t="n">
        <v>9363</v>
      </c>
      <c r="C219" t="n">
        <v>0</v>
      </c>
      <c r="D219" t="n">
        <v>9</v>
      </c>
    </row>
    <row r="220">
      <c r="A220" s="3" t="n">
        <v>45245</v>
      </c>
      <c r="B220" s="4" t="n">
        <v>9363</v>
      </c>
      <c r="C220" t="n">
        <v>0</v>
      </c>
      <c r="D220" t="n">
        <v>9</v>
      </c>
    </row>
    <row r="221">
      <c r="A221" s="3" t="n">
        <v>45246</v>
      </c>
      <c r="B221" s="4" t="n">
        <v>7347</v>
      </c>
      <c r="C221" t="n">
        <v>-21.53</v>
      </c>
      <c r="D221" t="n">
        <v>9</v>
      </c>
    </row>
    <row r="222">
      <c r="A222" s="3" t="n">
        <v>45247</v>
      </c>
      <c r="B222" s="4" t="n">
        <v>7430</v>
      </c>
      <c r="C222" t="n">
        <v>1.13</v>
      </c>
      <c r="D222" t="n">
        <v>9</v>
      </c>
    </row>
    <row r="223">
      <c r="A223" s="3" t="n">
        <v>45250</v>
      </c>
      <c r="B223" s="4" t="n">
        <v>7430</v>
      </c>
      <c r="C223" t="n">
        <v>0</v>
      </c>
      <c r="D223" t="n">
        <v>9</v>
      </c>
    </row>
    <row r="224">
      <c r="A224" s="3" t="n">
        <v>45251</v>
      </c>
      <c r="B224" s="4" t="n">
        <v>7430</v>
      </c>
      <c r="C224" t="n">
        <v>0</v>
      </c>
      <c r="D224" t="n">
        <v>9</v>
      </c>
    </row>
    <row r="225">
      <c r="A225" s="3" t="n">
        <v>45252</v>
      </c>
      <c r="B225" s="4" t="n">
        <v>7347</v>
      </c>
      <c r="C225" t="n">
        <v>-1.12</v>
      </c>
      <c r="D225" t="n">
        <v>9</v>
      </c>
    </row>
    <row r="226">
      <c r="A226" s="3" t="n">
        <v>45253</v>
      </c>
      <c r="B226" s="4" t="n">
        <v>7487</v>
      </c>
      <c r="C226" t="n">
        <v>1.91</v>
      </c>
      <c r="D226" t="n">
        <v>9</v>
      </c>
    </row>
    <row r="227">
      <c r="A227" s="3" t="n">
        <v>45254</v>
      </c>
      <c r="B227" s="4" t="n">
        <v>7487</v>
      </c>
      <c r="C227" t="n">
        <v>0</v>
      </c>
      <c r="D227" t="n">
        <v>9</v>
      </c>
    </row>
    <row r="228">
      <c r="A228" s="3" t="n">
        <v>45257</v>
      </c>
      <c r="B228" s="4" t="n">
        <v>7487</v>
      </c>
      <c r="C228" t="n">
        <v>0</v>
      </c>
      <c r="D228" t="n">
        <v>9</v>
      </c>
    </row>
    <row r="229">
      <c r="A229" s="3" t="n">
        <v>45258</v>
      </c>
      <c r="B229" s="4" t="n">
        <v>7393</v>
      </c>
      <c r="C229" t="n">
        <v>-1.26</v>
      </c>
      <c r="D229" t="n">
        <v>9</v>
      </c>
    </row>
    <row r="230">
      <c r="A230" s="3" t="n">
        <v>45259</v>
      </c>
      <c r="B230" s="4" t="n">
        <v>6183</v>
      </c>
      <c r="C230" t="n">
        <v>-16.37</v>
      </c>
      <c r="D230" t="n">
        <v>9</v>
      </c>
    </row>
    <row r="231">
      <c r="A231" s="3" t="n">
        <v>45260</v>
      </c>
      <c r="B231" s="4" t="n">
        <v>7277</v>
      </c>
      <c r="C231" t="n">
        <v>17.69</v>
      </c>
      <c r="D231" t="n">
        <v>9</v>
      </c>
    </row>
    <row r="232">
      <c r="A232" s="3" t="n">
        <v>45264</v>
      </c>
      <c r="B232" s="4" t="n">
        <v>7277</v>
      </c>
      <c r="C232" t="n">
        <v>0</v>
      </c>
      <c r="D232" t="n">
        <v>9</v>
      </c>
    </row>
    <row r="233">
      <c r="A233" s="3" t="n">
        <v>45265</v>
      </c>
      <c r="B233" s="4" t="n">
        <v>7277</v>
      </c>
      <c r="C233" t="n">
        <v>0</v>
      </c>
      <c r="D233" t="n">
        <v>9</v>
      </c>
    </row>
    <row r="234">
      <c r="A234" s="3" t="n">
        <v>45266</v>
      </c>
      <c r="B234" s="4" t="n">
        <v>7277</v>
      </c>
      <c r="C234" t="n">
        <v>0</v>
      </c>
      <c r="D234" t="n">
        <v>9</v>
      </c>
    </row>
    <row r="235">
      <c r="A235" s="3" t="n">
        <v>45267</v>
      </c>
      <c r="B235" s="4" t="n">
        <v>7647</v>
      </c>
      <c r="C235" t="n">
        <v>5.08</v>
      </c>
      <c r="D235" t="n">
        <v>9</v>
      </c>
    </row>
    <row r="236">
      <c r="A236" s="3" t="n">
        <v>45268</v>
      </c>
      <c r="B236" s="4" t="n">
        <v>6943</v>
      </c>
      <c r="C236" t="n">
        <v>-9.210000000000001</v>
      </c>
      <c r="D236" t="n">
        <v>9</v>
      </c>
    </row>
    <row r="237">
      <c r="A237" s="3" t="n">
        <v>45271</v>
      </c>
      <c r="B237" s="4" t="n">
        <v>6943</v>
      </c>
      <c r="C237" t="n">
        <v>0</v>
      </c>
      <c r="D237" t="n">
        <v>9</v>
      </c>
    </row>
    <row r="238">
      <c r="A238" s="3" t="n">
        <v>45272</v>
      </c>
      <c r="B238" s="4" t="n">
        <v>7027</v>
      </c>
      <c r="C238" t="n">
        <v>1.21</v>
      </c>
      <c r="D238" t="n">
        <v>9</v>
      </c>
    </row>
    <row r="239">
      <c r="A239" s="3" t="n">
        <v>45273</v>
      </c>
      <c r="B239" s="4" t="n">
        <v>7027</v>
      </c>
      <c r="C239" t="n">
        <v>0</v>
      </c>
      <c r="D239" t="n">
        <v>9</v>
      </c>
    </row>
    <row r="240">
      <c r="A240" s="3" t="n">
        <v>45274</v>
      </c>
      <c r="B240" s="4" t="n">
        <v>7380</v>
      </c>
      <c r="C240" t="n">
        <v>5.02</v>
      </c>
      <c r="D240" t="n">
        <v>9</v>
      </c>
    </row>
    <row r="241">
      <c r="A241" s="3" t="n">
        <v>45275</v>
      </c>
      <c r="B241" s="4" t="n">
        <v>7030</v>
      </c>
      <c r="C241" t="n">
        <v>-4.74</v>
      </c>
      <c r="D241" t="n">
        <v>9</v>
      </c>
    </row>
    <row r="242">
      <c r="A242" s="3" t="n">
        <v>45278</v>
      </c>
      <c r="B242" s="4" t="n">
        <v>7030</v>
      </c>
      <c r="C242" t="n">
        <v>0</v>
      </c>
      <c r="D242" t="n">
        <v>9</v>
      </c>
    </row>
    <row r="243">
      <c r="A243" s="3" t="n">
        <v>45279</v>
      </c>
      <c r="B243" s="4" t="n">
        <v>7030</v>
      </c>
      <c r="C243" t="n">
        <v>0</v>
      </c>
      <c r="D243" t="n">
        <v>9</v>
      </c>
    </row>
    <row r="244">
      <c r="A244" s="3" t="n">
        <v>45280</v>
      </c>
      <c r="B244" s="4" t="n">
        <v>7030</v>
      </c>
      <c r="C244" t="n">
        <v>0</v>
      </c>
      <c r="D244" t="n">
        <v>9</v>
      </c>
    </row>
    <row r="245">
      <c r="A245" s="3" t="n">
        <v>45281</v>
      </c>
      <c r="B245" s="4" t="n">
        <v>7030</v>
      </c>
      <c r="C245" t="n">
        <v>0</v>
      </c>
      <c r="D245" t="n">
        <v>9</v>
      </c>
    </row>
    <row r="246">
      <c r="A246" s="3" t="n">
        <v>45282</v>
      </c>
      <c r="B246" s="4" t="n">
        <v>7030</v>
      </c>
      <c r="C246" t="n">
        <v>0</v>
      </c>
      <c r="D246" t="n">
        <v>9</v>
      </c>
    </row>
    <row r="247">
      <c r="A247" s="3" t="n">
        <v>45286</v>
      </c>
      <c r="B247" s="4" t="n">
        <v>7030</v>
      </c>
      <c r="C247" t="n">
        <v>0</v>
      </c>
      <c r="D247" t="n">
        <v>9</v>
      </c>
    </row>
    <row r="248">
      <c r="A248" s="3" t="n">
        <v>45287</v>
      </c>
      <c r="B248" s="4" t="n">
        <v>6863</v>
      </c>
      <c r="C248" t="n">
        <v>-2.38</v>
      </c>
      <c r="D248" t="n">
        <v>9</v>
      </c>
    </row>
    <row r="249">
      <c r="A249" s="3" t="n">
        <v>45288</v>
      </c>
      <c r="B249" s="4" t="n">
        <v>7890</v>
      </c>
      <c r="C249" t="n">
        <v>14.96</v>
      </c>
      <c r="D249" t="n">
        <v>9</v>
      </c>
    </row>
    <row r="250">
      <c r="A250" s="3" t="n">
        <v>45289</v>
      </c>
      <c r="B250" s="4" t="n">
        <v>7890</v>
      </c>
      <c r="C250" t="n">
        <v>0</v>
      </c>
      <c r="D250" t="n">
        <v>9</v>
      </c>
    </row>
    <row r="251">
      <c r="A251" s="3" t="n">
        <v>45293</v>
      </c>
      <c r="B251" s="4" t="n">
        <v>7890</v>
      </c>
      <c r="C251" t="n">
        <v>0</v>
      </c>
      <c r="D251" t="n">
        <v>9</v>
      </c>
    </row>
    <row r="252">
      <c r="A252" s="3" t="n">
        <v>45294</v>
      </c>
      <c r="B252" s="4" t="n">
        <v>7890</v>
      </c>
      <c r="C252" t="n">
        <v>0</v>
      </c>
      <c r="D252" t="n">
        <v>9</v>
      </c>
    </row>
    <row r="253">
      <c r="A253" s="3" t="n">
        <v>45295</v>
      </c>
      <c r="B253" s="4" t="n">
        <v>7347</v>
      </c>
      <c r="C253" t="n">
        <v>-6.88</v>
      </c>
      <c r="D253" t="n">
        <v>9</v>
      </c>
    </row>
    <row r="254">
      <c r="A254" s="3" t="n">
        <v>45296</v>
      </c>
      <c r="B254" s="4" t="n">
        <v>6713</v>
      </c>
      <c r="C254" t="n">
        <v>-8.630000000000001</v>
      </c>
      <c r="D254" t="n">
        <v>9</v>
      </c>
    </row>
    <row r="255">
      <c r="A255" s="3" t="n">
        <v>45299</v>
      </c>
      <c r="B255" s="4" t="n">
        <v>6713</v>
      </c>
      <c r="C255" t="n">
        <v>0</v>
      </c>
      <c r="D255" t="n">
        <v>9</v>
      </c>
    </row>
    <row r="256">
      <c r="A256" s="3" t="n">
        <v>45300</v>
      </c>
      <c r="B256" s="4" t="n">
        <v>6713</v>
      </c>
      <c r="C256" t="n">
        <v>0</v>
      </c>
      <c r="D256" t="n">
        <v>9</v>
      </c>
    </row>
    <row r="257">
      <c r="A257" s="3" t="n">
        <v>45301</v>
      </c>
      <c r="B257" s="4" t="n">
        <v>6637</v>
      </c>
      <c r="C257" t="n">
        <v>-1.13</v>
      </c>
      <c r="D257" t="n">
        <v>9</v>
      </c>
    </row>
    <row r="258">
      <c r="A258" s="3" t="n">
        <v>45302</v>
      </c>
      <c r="B258" s="4" t="n">
        <v>6057</v>
      </c>
      <c r="C258" t="n">
        <v>-8.74</v>
      </c>
      <c r="D258" t="n">
        <v>9</v>
      </c>
    </row>
    <row r="259">
      <c r="A259" s="3" t="n">
        <v>45303</v>
      </c>
      <c r="B259" s="4" t="n">
        <v>6057</v>
      </c>
      <c r="C259" t="n">
        <v>0</v>
      </c>
      <c r="D259" t="n">
        <v>9</v>
      </c>
    </row>
    <row r="260">
      <c r="A260" s="3" t="n">
        <v>45306</v>
      </c>
      <c r="B260" s="4" t="n">
        <v>6057</v>
      </c>
      <c r="C260" t="n">
        <v>0</v>
      </c>
      <c r="D260" t="n">
        <v>9</v>
      </c>
    </row>
    <row r="261">
      <c r="A261" s="3" t="n">
        <v>45307</v>
      </c>
      <c r="B261" s="4" t="n">
        <v>6057</v>
      </c>
      <c r="C261" t="n">
        <v>0</v>
      </c>
      <c r="D261" t="n">
        <v>9</v>
      </c>
    </row>
    <row r="262">
      <c r="A262" s="3" t="n">
        <v>45308</v>
      </c>
      <c r="B262" s="4" t="n">
        <v>6057</v>
      </c>
      <c r="C262" t="n">
        <v>0</v>
      </c>
      <c r="D262" t="n">
        <v>9</v>
      </c>
    </row>
    <row r="263">
      <c r="A263" s="3" t="n">
        <v>45309</v>
      </c>
      <c r="B263" s="4" t="n">
        <v>7353</v>
      </c>
      <c r="C263" t="n">
        <v>21.4</v>
      </c>
      <c r="D263" t="n">
        <v>9</v>
      </c>
    </row>
    <row r="264">
      <c r="A264" s="3" t="n">
        <v>45310</v>
      </c>
      <c r="B264" s="4" t="n">
        <v>7810</v>
      </c>
      <c r="C264" t="n">
        <v>6.22</v>
      </c>
      <c r="D264" t="n">
        <v>9</v>
      </c>
    </row>
    <row r="265">
      <c r="A265" s="3" t="n">
        <v>45313</v>
      </c>
      <c r="B265" s="4" t="n">
        <v>7810</v>
      </c>
      <c r="C265" t="n">
        <v>0</v>
      </c>
      <c r="D265" t="n">
        <v>9</v>
      </c>
    </row>
    <row r="266">
      <c r="A266" s="3" t="n">
        <v>45314</v>
      </c>
      <c r="B266" s="4" t="n">
        <v>7810</v>
      </c>
      <c r="C266" t="n">
        <v>0</v>
      </c>
      <c r="D266" t="n">
        <v>9</v>
      </c>
    </row>
    <row r="267">
      <c r="A267" s="3" t="n">
        <v>45315</v>
      </c>
      <c r="B267" s="4" t="n">
        <v>7977</v>
      </c>
      <c r="C267" t="n">
        <v>2.14</v>
      </c>
      <c r="D267" t="n">
        <v>9</v>
      </c>
    </row>
    <row r="268">
      <c r="A268" s="3" t="n">
        <v>45316</v>
      </c>
      <c r="B268" s="4" t="n">
        <v>10223</v>
      </c>
      <c r="C268" t="n">
        <v>28.16</v>
      </c>
      <c r="D268" t="n">
        <v>9</v>
      </c>
    </row>
    <row r="269">
      <c r="A269" s="3" t="n">
        <v>45317</v>
      </c>
      <c r="B269" s="4" t="n">
        <v>10223</v>
      </c>
      <c r="C269" t="n">
        <v>0</v>
      </c>
      <c r="D269" t="n">
        <v>9</v>
      </c>
    </row>
    <row r="270">
      <c r="A270" s="3" t="n">
        <v>45320</v>
      </c>
      <c r="B270" s="4" t="n">
        <v>10307</v>
      </c>
      <c r="C270" t="n">
        <v>0.82</v>
      </c>
      <c r="D270" t="n">
        <v>9</v>
      </c>
    </row>
    <row r="271">
      <c r="A271" s="3" t="n">
        <v>45321</v>
      </c>
      <c r="B271" s="4" t="n">
        <v>10307</v>
      </c>
      <c r="C271" t="n">
        <v>0</v>
      </c>
      <c r="D271" t="n">
        <v>9</v>
      </c>
    </row>
    <row r="272">
      <c r="A272" s="3" t="n">
        <v>45322</v>
      </c>
      <c r="B272" s="4" t="n">
        <v>10307</v>
      </c>
      <c r="C272" t="n">
        <v>0</v>
      </c>
      <c r="D272" t="n">
        <v>9</v>
      </c>
    </row>
    <row r="273">
      <c r="A273" s="3" t="n">
        <v>45323</v>
      </c>
      <c r="B273" s="4" t="n">
        <v>10223</v>
      </c>
      <c r="C273" t="n">
        <v>-0.8100000000000001</v>
      </c>
      <c r="D273" t="n">
        <v>9</v>
      </c>
    </row>
    <row r="274">
      <c r="A274" s="3" t="n">
        <v>45324</v>
      </c>
      <c r="B274" s="4" t="n">
        <v>10223</v>
      </c>
      <c r="C274" t="n">
        <v>0</v>
      </c>
      <c r="D274" t="n">
        <v>9</v>
      </c>
    </row>
    <row r="275">
      <c r="A275" s="3" t="n">
        <v>45327</v>
      </c>
      <c r="B275" s="4" t="n">
        <v>10223</v>
      </c>
      <c r="C275" t="n">
        <v>0</v>
      </c>
      <c r="D275" t="n">
        <v>9</v>
      </c>
    </row>
    <row r="276">
      <c r="A276" s="3" t="n">
        <v>45328</v>
      </c>
      <c r="B276" s="4" t="n">
        <v>10223</v>
      </c>
      <c r="C276" t="n">
        <v>0</v>
      </c>
      <c r="D276" t="n">
        <v>9</v>
      </c>
    </row>
    <row r="277">
      <c r="A277" s="3" t="n">
        <v>45329</v>
      </c>
      <c r="B277" s="4" t="n">
        <v>10223</v>
      </c>
      <c r="C277" t="n">
        <v>0</v>
      </c>
      <c r="D277" t="n">
        <v>9</v>
      </c>
    </row>
    <row r="278">
      <c r="A278" s="3" t="n">
        <v>45330</v>
      </c>
      <c r="B278" s="4" t="n">
        <v>10223</v>
      </c>
      <c r="C278" t="n">
        <v>0</v>
      </c>
      <c r="D278" t="n">
        <v>9</v>
      </c>
    </row>
    <row r="279">
      <c r="A279" s="3" t="n">
        <v>45335</v>
      </c>
      <c r="B279" s="4" t="n">
        <v>10223</v>
      </c>
      <c r="C279" t="n">
        <v>0</v>
      </c>
      <c r="D279" t="n">
        <v>9</v>
      </c>
    </row>
    <row r="280">
      <c r="A280" s="3" t="n">
        <v>45336</v>
      </c>
      <c r="B280" s="4" t="n">
        <v>10223</v>
      </c>
      <c r="C280" t="n">
        <v>0</v>
      </c>
      <c r="D280" t="n">
        <v>9</v>
      </c>
    </row>
    <row r="281">
      <c r="A281" s="3" t="n">
        <v>45337</v>
      </c>
      <c r="B281" s="4" t="n">
        <v>9683</v>
      </c>
      <c r="C281" t="n">
        <v>-5.28</v>
      </c>
      <c r="D281" t="n">
        <v>9</v>
      </c>
    </row>
    <row r="282">
      <c r="A282" s="3" t="n">
        <v>45338</v>
      </c>
      <c r="B282" s="4" t="n">
        <v>9683</v>
      </c>
      <c r="C282" t="n">
        <v>0</v>
      </c>
      <c r="D282" t="n">
        <v>9</v>
      </c>
    </row>
    <row r="283">
      <c r="A283" s="3" t="n">
        <v>45341</v>
      </c>
      <c r="B283" s="4" t="n">
        <v>9683</v>
      </c>
      <c r="C283" t="n">
        <v>0</v>
      </c>
      <c r="D283" t="n">
        <v>9</v>
      </c>
    </row>
    <row r="284">
      <c r="A284" s="3" t="n">
        <v>45342</v>
      </c>
      <c r="B284" s="4" t="n">
        <v>9683</v>
      </c>
      <c r="C284" t="n">
        <v>0</v>
      </c>
      <c r="D284" t="n">
        <v>9</v>
      </c>
    </row>
    <row r="285">
      <c r="A285" s="3" t="n">
        <v>45343</v>
      </c>
      <c r="B285" s="4" t="n">
        <v>9683</v>
      </c>
      <c r="C285" t="n">
        <v>0</v>
      </c>
      <c r="D285" t="n">
        <v>9</v>
      </c>
    </row>
    <row r="286">
      <c r="A286" s="3" t="n">
        <v>45344</v>
      </c>
      <c r="B286" s="4" t="n">
        <v>10427</v>
      </c>
      <c r="C286" t="n">
        <v>7.68</v>
      </c>
      <c r="D286" t="n">
        <v>9</v>
      </c>
    </row>
    <row r="287">
      <c r="A287" s="3" t="n">
        <v>45345</v>
      </c>
      <c r="B287" s="4" t="n">
        <v>10427</v>
      </c>
      <c r="C287" t="n">
        <v>0</v>
      </c>
      <c r="D287" t="n">
        <v>9</v>
      </c>
    </row>
    <row r="288">
      <c r="A288" s="3" t="n">
        <v>45348</v>
      </c>
      <c r="B288" s="4" t="n">
        <v>10427</v>
      </c>
      <c r="C288" t="n">
        <v>0</v>
      </c>
      <c r="D288" t="n">
        <v>9</v>
      </c>
    </row>
    <row r="289">
      <c r="A289" s="3" t="n">
        <v>45349</v>
      </c>
      <c r="B289" s="4" t="n">
        <v>10427</v>
      </c>
      <c r="C289" t="n">
        <v>0</v>
      </c>
      <c r="D289" t="n">
        <v>9</v>
      </c>
    </row>
    <row r="290">
      <c r="A290" s="3" t="n">
        <v>45350</v>
      </c>
      <c r="B290" s="4" t="n">
        <v>10427</v>
      </c>
      <c r="C290" t="n">
        <v>0</v>
      </c>
      <c r="D290" t="n">
        <v>9</v>
      </c>
    </row>
    <row r="291">
      <c r="A291" s="3" t="n">
        <v>45351</v>
      </c>
      <c r="B291" s="4" t="n">
        <v>10427</v>
      </c>
      <c r="C291" t="n">
        <v>0</v>
      </c>
      <c r="D291" t="n">
        <v>9</v>
      </c>
    </row>
    <row r="292">
      <c r="A292" s="3" t="n">
        <v>45355</v>
      </c>
      <c r="B292" s="4" t="n">
        <v>10427</v>
      </c>
      <c r="C292" t="n">
        <v>0</v>
      </c>
      <c r="D292" t="n">
        <v>9</v>
      </c>
    </row>
    <row r="293">
      <c r="A293" s="3" t="n">
        <v>45356</v>
      </c>
      <c r="B293" s="4" t="n">
        <v>10427</v>
      </c>
      <c r="C293" t="n">
        <v>0</v>
      </c>
      <c r="D293" t="n">
        <v>9</v>
      </c>
    </row>
    <row r="294">
      <c r="A294" s="3" t="n">
        <v>45357</v>
      </c>
      <c r="B294" s="4" t="n">
        <v>10877</v>
      </c>
      <c r="C294" t="n">
        <v>4.32</v>
      </c>
      <c r="D294" t="n">
        <v>9</v>
      </c>
    </row>
    <row r="295">
      <c r="A295" s="3" t="n">
        <v>45358</v>
      </c>
      <c r="B295" s="4" t="n">
        <v>10307</v>
      </c>
      <c r="C295" t="n">
        <v>-5.24</v>
      </c>
      <c r="D295" t="n">
        <v>9</v>
      </c>
    </row>
    <row r="296">
      <c r="A296" s="3" t="n">
        <v>45359</v>
      </c>
      <c r="B296" s="4" t="n">
        <v>10307</v>
      </c>
      <c r="C296" t="n">
        <v>0</v>
      </c>
      <c r="D296" t="n">
        <v>9</v>
      </c>
    </row>
    <row r="297">
      <c r="A297" s="3" t="n">
        <v>45362</v>
      </c>
      <c r="B297" s="4" t="n">
        <v>10307</v>
      </c>
      <c r="C297" t="n">
        <v>0</v>
      </c>
      <c r="D297" t="n">
        <v>9</v>
      </c>
    </row>
    <row r="298">
      <c r="A298" s="3" t="n">
        <v>45363</v>
      </c>
      <c r="B298" s="4" t="n">
        <v>10140</v>
      </c>
      <c r="C298" t="n">
        <v>-1.62</v>
      </c>
      <c r="D298" t="n">
        <v>9</v>
      </c>
    </row>
    <row r="299">
      <c r="A299" s="3" t="n">
        <v>45364</v>
      </c>
      <c r="B299" s="4" t="n">
        <v>10140</v>
      </c>
      <c r="C299" t="n">
        <v>0</v>
      </c>
      <c r="D299" t="n">
        <v>9</v>
      </c>
    </row>
    <row r="300">
      <c r="A300" s="3" t="n">
        <v>45365</v>
      </c>
      <c r="B300" s="4" t="n">
        <v>9567</v>
      </c>
      <c r="C300" t="n">
        <v>-5.65</v>
      </c>
      <c r="D300" t="n">
        <v>9</v>
      </c>
    </row>
    <row r="301">
      <c r="A301" s="3" t="n">
        <v>45366</v>
      </c>
      <c r="B301" s="4" t="n">
        <v>9123</v>
      </c>
      <c r="C301" t="n">
        <v>-4.64</v>
      </c>
      <c r="D301" t="n">
        <v>9</v>
      </c>
    </row>
    <row r="302">
      <c r="A302" s="3" t="n">
        <v>45369</v>
      </c>
      <c r="B302" s="4" t="n">
        <v>8790</v>
      </c>
      <c r="C302" t="n">
        <v>-3.65</v>
      </c>
      <c r="D302" t="n">
        <v>9</v>
      </c>
    </row>
    <row r="303">
      <c r="A303" s="3" t="n">
        <v>45370</v>
      </c>
      <c r="B303" s="4" t="n">
        <v>8400</v>
      </c>
      <c r="C303" t="n">
        <v>-4.44</v>
      </c>
      <c r="D303" t="n">
        <v>9</v>
      </c>
    </row>
    <row r="304">
      <c r="A304" s="3" t="n">
        <v>45371</v>
      </c>
      <c r="B304" s="4" t="n">
        <v>8400</v>
      </c>
      <c r="C304" t="n">
        <v>0</v>
      </c>
      <c r="D304" t="n">
        <v>9</v>
      </c>
    </row>
    <row r="305">
      <c r="A305" s="3" t="n">
        <v>45372</v>
      </c>
      <c r="B305" s="4" t="n">
        <v>7400</v>
      </c>
      <c r="C305" t="n">
        <v>-11.9</v>
      </c>
      <c r="D305" t="n">
        <v>9</v>
      </c>
    </row>
    <row r="306">
      <c r="A306" s="3" t="n">
        <v>45373</v>
      </c>
      <c r="B306" s="4" t="n">
        <v>7400</v>
      </c>
      <c r="C306" t="n">
        <v>0</v>
      </c>
      <c r="D306" t="n">
        <v>9</v>
      </c>
    </row>
    <row r="307">
      <c r="A307" s="3" t="n">
        <v>45376</v>
      </c>
      <c r="B307" s="4" t="n">
        <v>7317</v>
      </c>
      <c r="C307" t="n">
        <v>-1.12</v>
      </c>
      <c r="D307" t="n">
        <v>9</v>
      </c>
    </row>
    <row r="308">
      <c r="A308" s="3" t="n">
        <v>45377</v>
      </c>
      <c r="B308" s="4" t="n">
        <v>7317</v>
      </c>
      <c r="C308" t="n">
        <v>0</v>
      </c>
      <c r="D308" t="n">
        <v>9</v>
      </c>
    </row>
    <row r="309">
      <c r="A309" s="3" t="n">
        <v>45378</v>
      </c>
      <c r="B309" s="4" t="n">
        <v>7317</v>
      </c>
      <c r="C309" t="n">
        <v>0</v>
      </c>
      <c r="D309" t="n">
        <v>9</v>
      </c>
    </row>
    <row r="310">
      <c r="A310" s="3" t="n">
        <v>45379</v>
      </c>
      <c r="B310" s="4" t="n">
        <v>7370</v>
      </c>
      <c r="C310" t="n">
        <v>0.72</v>
      </c>
      <c r="D310" t="n">
        <v>9</v>
      </c>
    </row>
    <row r="311">
      <c r="A311" s="3" t="n">
        <v>45380</v>
      </c>
      <c r="B311" s="4" t="n">
        <v>7370</v>
      </c>
      <c r="C311" t="n">
        <v>0</v>
      </c>
      <c r="D311" t="n">
        <v>9</v>
      </c>
    </row>
    <row r="312">
      <c r="A312" s="3" t="n">
        <v>45383</v>
      </c>
      <c r="B312" s="4" t="n">
        <v>7537</v>
      </c>
      <c r="C312" t="n">
        <v>2.27</v>
      </c>
      <c r="D312" t="n">
        <v>9</v>
      </c>
    </row>
    <row r="313">
      <c r="A313" s="3" t="n">
        <v>45384</v>
      </c>
      <c r="B313" s="4" t="n">
        <v>7620</v>
      </c>
      <c r="C313" t="n">
        <v>1.1</v>
      </c>
      <c r="D313" t="n">
        <v>9</v>
      </c>
    </row>
    <row r="314">
      <c r="A314" s="3" t="n">
        <v>45385</v>
      </c>
      <c r="B314" s="4" t="n">
        <v>7620</v>
      </c>
      <c r="C314" t="n">
        <v>0</v>
      </c>
      <c r="D314" t="n">
        <v>9</v>
      </c>
    </row>
    <row r="315">
      <c r="A315" s="3" t="n">
        <v>45386</v>
      </c>
      <c r="B315" s="4" t="n">
        <v>8290</v>
      </c>
      <c r="C315" t="n">
        <v>8.789999999999999</v>
      </c>
      <c r="D315" t="n">
        <v>9</v>
      </c>
    </row>
    <row r="316">
      <c r="A316" s="3" t="n">
        <v>45387</v>
      </c>
      <c r="B316" s="4" t="n">
        <v>8290</v>
      </c>
      <c r="C316" t="n">
        <v>0</v>
      </c>
      <c r="D316" t="n">
        <v>9</v>
      </c>
    </row>
    <row r="317">
      <c r="A317" s="3" t="n">
        <v>45390</v>
      </c>
      <c r="B317" s="4" t="n">
        <v>8290</v>
      </c>
      <c r="C317" t="n">
        <v>0</v>
      </c>
      <c r="D317" t="n">
        <v>9</v>
      </c>
    </row>
    <row r="318">
      <c r="A318" s="3" t="n">
        <v>45391</v>
      </c>
      <c r="B318" s="4" t="n">
        <v>8290</v>
      </c>
      <c r="C318" t="n">
        <v>0</v>
      </c>
      <c r="D318" t="n">
        <v>9</v>
      </c>
    </row>
    <row r="319">
      <c r="A319" s="3" t="n">
        <v>45393</v>
      </c>
      <c r="B319" s="4" t="n">
        <v>7957</v>
      </c>
      <c r="C319" t="n">
        <v>-4.02</v>
      </c>
      <c r="D319" t="n">
        <v>9</v>
      </c>
    </row>
    <row r="320">
      <c r="A320" s="3" t="n">
        <v>45394</v>
      </c>
      <c r="B320" s="4" t="n">
        <v>7957</v>
      </c>
      <c r="C320" t="n">
        <v>0</v>
      </c>
      <c r="D320" t="n">
        <v>9</v>
      </c>
    </row>
    <row r="321">
      <c r="A321" s="3" t="n">
        <v>45397</v>
      </c>
      <c r="B321" s="4" t="n">
        <v>7873</v>
      </c>
      <c r="C321" t="n">
        <v>-1.06</v>
      </c>
      <c r="D321" t="n">
        <v>9</v>
      </c>
    </row>
    <row r="322">
      <c r="A322" s="3" t="n">
        <v>45398</v>
      </c>
      <c r="B322" s="4" t="n">
        <v>7873</v>
      </c>
      <c r="C322" t="n">
        <v>0</v>
      </c>
      <c r="D322" t="n">
        <v>9</v>
      </c>
    </row>
    <row r="323">
      <c r="A323" s="3" t="n">
        <v>45399</v>
      </c>
      <c r="B323" s="4" t="n">
        <v>7873</v>
      </c>
      <c r="C323" t="n">
        <v>0</v>
      </c>
      <c r="D323" t="n">
        <v>9</v>
      </c>
    </row>
    <row r="324">
      <c r="A324" s="3" t="n">
        <v>45400</v>
      </c>
      <c r="B324" s="4" t="n">
        <v>7093</v>
      </c>
      <c r="C324" t="n">
        <v>-9.91</v>
      </c>
      <c r="D324" t="n">
        <v>9</v>
      </c>
    </row>
    <row r="325">
      <c r="A325" s="3" t="n">
        <v>45401</v>
      </c>
      <c r="B325" s="4" t="n">
        <v>7093</v>
      </c>
      <c r="C325" t="n">
        <v>0</v>
      </c>
      <c r="D325" t="n">
        <v>9</v>
      </c>
    </row>
    <row r="326">
      <c r="A326" s="3" t="n">
        <v>45404</v>
      </c>
      <c r="B326" s="4" t="n">
        <v>6860</v>
      </c>
      <c r="C326" t="n">
        <v>-3.28</v>
      </c>
      <c r="D326" t="n">
        <v>9</v>
      </c>
    </row>
    <row r="327">
      <c r="A327" s="3" t="n">
        <v>45405</v>
      </c>
      <c r="B327" s="4" t="n">
        <v>6860</v>
      </c>
      <c r="C327" t="n">
        <v>0</v>
      </c>
      <c r="D327" t="n">
        <v>9</v>
      </c>
    </row>
    <row r="328">
      <c r="A328" s="3" t="n">
        <v>45406</v>
      </c>
      <c r="B328" s="4" t="n">
        <v>7093</v>
      </c>
      <c r="C328" t="n">
        <v>3.4</v>
      </c>
      <c r="D328" t="n">
        <v>9</v>
      </c>
    </row>
    <row r="329">
      <c r="A329" s="3" t="n">
        <v>45407</v>
      </c>
      <c r="B329" s="4" t="n">
        <v>6817</v>
      </c>
      <c r="C329" t="n">
        <v>-3.89</v>
      </c>
      <c r="D329" t="n">
        <v>9</v>
      </c>
    </row>
    <row r="330">
      <c r="A330" s="3" t="n">
        <v>45408</v>
      </c>
      <c r="B330" s="4" t="n">
        <v>6817</v>
      </c>
      <c r="C330" t="n">
        <v>0</v>
      </c>
      <c r="D330" t="n">
        <v>9</v>
      </c>
    </row>
    <row r="331">
      <c r="A331" s="3" t="n">
        <v>45411</v>
      </c>
      <c r="B331" s="4" t="n">
        <v>6317</v>
      </c>
      <c r="C331" t="n">
        <v>-7.33</v>
      </c>
      <c r="D331" t="n">
        <v>10</v>
      </c>
    </row>
    <row r="332">
      <c r="A332" s="3" t="n">
        <v>45412</v>
      </c>
      <c r="B332" s="4" t="n">
        <v>6317</v>
      </c>
      <c r="C332" t="n">
        <v>0</v>
      </c>
      <c r="D332" t="n">
        <v>10</v>
      </c>
    </row>
    <row r="333">
      <c r="A333" s="3" t="n">
        <v>45414</v>
      </c>
      <c r="B333" s="4" t="n">
        <v>6260</v>
      </c>
      <c r="C333" t="n">
        <v>-0.9</v>
      </c>
      <c r="D333" t="n">
        <v>10</v>
      </c>
    </row>
    <row r="334">
      <c r="A334" s="3" t="n">
        <v>45415</v>
      </c>
      <c r="B334" s="4" t="n">
        <v>6260</v>
      </c>
      <c r="C334" t="n">
        <v>0</v>
      </c>
      <c r="D334" t="n">
        <v>10</v>
      </c>
    </row>
    <row r="335">
      <c r="A335" s="3" t="n">
        <v>45419</v>
      </c>
      <c r="B335" s="4" t="n">
        <v>6260</v>
      </c>
      <c r="C335" t="n">
        <v>0</v>
      </c>
      <c r="D335" t="n">
        <v>10</v>
      </c>
    </row>
    <row r="336">
      <c r="A336" s="3" t="n">
        <v>45420</v>
      </c>
      <c r="B336" s="4" t="n">
        <v>6260</v>
      </c>
      <c r="C336" t="n">
        <v>0</v>
      </c>
      <c r="D336" t="n">
        <v>10</v>
      </c>
    </row>
    <row r="337">
      <c r="A337" s="3" t="n">
        <v>45421</v>
      </c>
      <c r="B337" s="4" t="n">
        <v>5873</v>
      </c>
      <c r="C337" t="n">
        <v>-6.18</v>
      </c>
      <c r="D337" t="n">
        <v>10</v>
      </c>
    </row>
    <row r="338">
      <c r="A338" s="3" t="n">
        <v>45422</v>
      </c>
      <c r="B338" s="4" t="n">
        <v>5873</v>
      </c>
      <c r="C338" t="n">
        <v>0</v>
      </c>
      <c r="D338" t="n">
        <v>10</v>
      </c>
    </row>
    <row r="339">
      <c r="A339" s="3" t="n">
        <v>45425</v>
      </c>
      <c r="B339" s="4" t="n">
        <v>5290</v>
      </c>
      <c r="C339" t="n">
        <v>-9.93</v>
      </c>
      <c r="D339" t="n">
        <v>10</v>
      </c>
    </row>
    <row r="340">
      <c r="A340" s="3" t="n">
        <v>45426</v>
      </c>
      <c r="B340" s="4" t="n">
        <v>5290</v>
      </c>
      <c r="C340" t="n">
        <v>0</v>
      </c>
      <c r="D340" t="n">
        <v>10</v>
      </c>
    </row>
    <row r="341">
      <c r="A341" s="3" t="n">
        <v>45428</v>
      </c>
      <c r="B341" s="4" t="n">
        <v>5290</v>
      </c>
      <c r="C341" t="n">
        <v>0</v>
      </c>
      <c r="D341" t="n">
        <v>10</v>
      </c>
    </row>
    <row r="342">
      <c r="A342" s="3" t="n">
        <v>45429</v>
      </c>
      <c r="B342" s="4" t="n">
        <v>5290</v>
      </c>
      <c r="C342" t="n">
        <v>0</v>
      </c>
      <c r="D342" t="n">
        <v>10</v>
      </c>
    </row>
    <row r="343">
      <c r="A343" s="3" t="n">
        <v>45432</v>
      </c>
      <c r="B343" s="4" t="n">
        <v>5290</v>
      </c>
      <c r="C343" t="n">
        <v>0</v>
      </c>
      <c r="D343" t="n">
        <v>10</v>
      </c>
    </row>
    <row r="344">
      <c r="A344" s="3" t="n">
        <v>45433</v>
      </c>
      <c r="B344" s="4" t="n">
        <v>5707</v>
      </c>
      <c r="C344" t="n">
        <v>7.88</v>
      </c>
      <c r="D344" t="n">
        <v>10</v>
      </c>
    </row>
    <row r="345">
      <c r="A345" s="3" t="n">
        <v>45434</v>
      </c>
      <c r="B345" s="4" t="n">
        <v>5540</v>
      </c>
      <c r="C345" t="n">
        <v>-2.93</v>
      </c>
      <c r="D345" t="n">
        <v>10</v>
      </c>
    </row>
    <row r="346">
      <c r="A346" s="3" t="n">
        <v>45435</v>
      </c>
      <c r="B346" s="4" t="n">
        <v>6457</v>
      </c>
      <c r="C346" t="n">
        <v>16.55</v>
      </c>
      <c r="D346" t="n">
        <v>10</v>
      </c>
    </row>
    <row r="347">
      <c r="A347" s="3" t="n">
        <v>45436</v>
      </c>
      <c r="B347" s="4" t="n">
        <v>6457</v>
      </c>
      <c r="C347" t="n">
        <v>0</v>
      </c>
      <c r="D347" t="n">
        <v>10</v>
      </c>
    </row>
    <row r="348">
      <c r="A348" s="3" t="n">
        <v>45439</v>
      </c>
      <c r="B348" s="4" t="n">
        <v>6457</v>
      </c>
      <c r="C348" t="n">
        <v>0</v>
      </c>
      <c r="D348" t="n">
        <v>10</v>
      </c>
    </row>
    <row r="349">
      <c r="A349" s="3" t="n">
        <v>45440</v>
      </c>
      <c r="B349" s="4" t="n">
        <v>6457</v>
      </c>
      <c r="C349" t="n">
        <v>0</v>
      </c>
      <c r="D349" t="n">
        <v>10</v>
      </c>
    </row>
    <row r="350">
      <c r="A350" s="3" t="n">
        <v>45441</v>
      </c>
      <c r="B350" s="4" t="n">
        <v>6457</v>
      </c>
      <c r="C350" t="n">
        <v>0</v>
      </c>
      <c r="D350" t="n">
        <v>10</v>
      </c>
    </row>
    <row r="351">
      <c r="A351" s="3" t="n">
        <v>45442</v>
      </c>
      <c r="B351" s="4" t="n">
        <v>5947</v>
      </c>
      <c r="C351" t="n">
        <v>-7.9</v>
      </c>
      <c r="D351" t="n">
        <v>10</v>
      </c>
    </row>
    <row r="352">
      <c r="A352" s="3" t="n">
        <v>45443</v>
      </c>
      <c r="B352" s="4" t="n">
        <v>5390</v>
      </c>
      <c r="C352" t="n">
        <v>-9.369999999999999</v>
      </c>
      <c r="D352" t="n">
        <v>10</v>
      </c>
    </row>
    <row r="353">
      <c r="A353" s="3" t="n">
        <v>45446</v>
      </c>
      <c r="B353" s="4" t="n">
        <v>5307</v>
      </c>
      <c r="C353" t="n">
        <v>-1.54</v>
      </c>
      <c r="D353" t="n">
        <v>10</v>
      </c>
    </row>
    <row r="354">
      <c r="A354" s="3" t="n">
        <v>45447</v>
      </c>
      <c r="B354" s="4" t="n">
        <v>5067</v>
      </c>
      <c r="C354" t="n">
        <v>-4.52</v>
      </c>
      <c r="D354" t="n">
        <v>10</v>
      </c>
    </row>
    <row r="355">
      <c r="A355" s="3" t="n">
        <v>45448</v>
      </c>
      <c r="B355" s="4" t="n">
        <v>5067</v>
      </c>
      <c r="C355" t="n">
        <v>0</v>
      </c>
      <c r="D355" t="n">
        <v>10</v>
      </c>
    </row>
    <row r="356">
      <c r="A356" s="3" t="n">
        <v>45450</v>
      </c>
      <c r="B356" s="4" t="n">
        <v>4577</v>
      </c>
      <c r="C356" t="n">
        <v>-9.67</v>
      </c>
      <c r="D356" t="n">
        <v>10</v>
      </c>
    </row>
    <row r="357">
      <c r="A357" s="3" t="n">
        <v>45453</v>
      </c>
      <c r="B357" s="4" t="n">
        <v>4577</v>
      </c>
      <c r="C357" t="n">
        <v>0</v>
      </c>
      <c r="D357" t="n">
        <v>10</v>
      </c>
    </row>
    <row r="358">
      <c r="A358" s="3" t="n">
        <v>45454</v>
      </c>
      <c r="B358" s="4" t="n">
        <v>4577</v>
      </c>
      <c r="C358" t="n">
        <v>0</v>
      </c>
      <c r="D358" t="n">
        <v>10</v>
      </c>
    </row>
    <row r="359">
      <c r="A359" s="3" t="n">
        <v>45455</v>
      </c>
      <c r="B359" s="4" t="n">
        <v>4577</v>
      </c>
      <c r="C359" t="n">
        <v>0</v>
      </c>
      <c r="D359" t="n">
        <v>10</v>
      </c>
    </row>
    <row r="360">
      <c r="A360" s="3" t="n">
        <v>45456</v>
      </c>
      <c r="B360" s="4" t="n">
        <v>4577</v>
      </c>
      <c r="C360" t="n">
        <v>0</v>
      </c>
      <c r="D360" t="n">
        <v>10</v>
      </c>
    </row>
    <row r="361">
      <c r="A361" s="3" t="n">
        <v>45457</v>
      </c>
      <c r="B361" s="4" t="n">
        <v>4577</v>
      </c>
      <c r="C361" t="n">
        <v>0</v>
      </c>
      <c r="D361" t="n">
        <v>10</v>
      </c>
    </row>
    <row r="362">
      <c r="A362" s="3" t="n">
        <v>45460</v>
      </c>
      <c r="B362" s="4" t="n">
        <v>4577</v>
      </c>
      <c r="C362" t="n">
        <v>0</v>
      </c>
      <c r="D362" t="n">
        <v>10</v>
      </c>
    </row>
    <row r="363">
      <c r="A363" s="3" t="n">
        <v>45461</v>
      </c>
      <c r="B363" s="4" t="n">
        <v>4577</v>
      </c>
      <c r="C363" t="n">
        <v>0</v>
      </c>
      <c r="D363" t="n">
        <v>10</v>
      </c>
    </row>
    <row r="364">
      <c r="A364" s="3" t="n">
        <v>45462</v>
      </c>
      <c r="B364" s="4" t="n">
        <v>4493</v>
      </c>
      <c r="C364" t="n">
        <v>-1.84</v>
      </c>
      <c r="D364" t="n">
        <v>10</v>
      </c>
    </row>
    <row r="365">
      <c r="A365" s="3" t="n">
        <v>45463</v>
      </c>
      <c r="B365" s="4" t="n">
        <v>4577</v>
      </c>
      <c r="C365" t="n">
        <v>1.87</v>
      </c>
      <c r="D365" t="n">
        <v>10</v>
      </c>
    </row>
    <row r="366">
      <c r="A366" s="3" t="n">
        <v>45464</v>
      </c>
      <c r="B366" s="4" t="n">
        <v>4577</v>
      </c>
      <c r="C366" t="n">
        <v>0</v>
      </c>
      <c r="D366" t="n">
        <v>10</v>
      </c>
    </row>
    <row r="367">
      <c r="A367" s="3" t="n">
        <v>45467</v>
      </c>
      <c r="B367" s="4" t="n">
        <v>4577</v>
      </c>
      <c r="C367" t="n">
        <v>0</v>
      </c>
      <c r="D367" t="n">
        <v>10</v>
      </c>
    </row>
    <row r="368">
      <c r="A368" s="3" t="n">
        <v>45468</v>
      </c>
      <c r="B368" s="4" t="n">
        <v>4577</v>
      </c>
      <c r="C368" t="n">
        <v>0</v>
      </c>
      <c r="D368" t="n">
        <v>10</v>
      </c>
    </row>
    <row r="369">
      <c r="A369" s="3" t="n">
        <v>45469</v>
      </c>
      <c r="B369" s="4" t="n">
        <v>4577</v>
      </c>
      <c r="C369" t="n">
        <v>0</v>
      </c>
      <c r="D369" t="n">
        <v>10</v>
      </c>
    </row>
    <row r="370">
      <c r="A370" s="3" t="n">
        <v>45470</v>
      </c>
      <c r="B370" s="4" t="n">
        <v>4410</v>
      </c>
      <c r="C370" t="n">
        <v>-3.65</v>
      </c>
      <c r="D370" t="n">
        <v>10</v>
      </c>
    </row>
    <row r="371">
      <c r="A371" s="3" t="n">
        <v>45471</v>
      </c>
      <c r="B371" s="4" t="n">
        <v>4410</v>
      </c>
      <c r="C371" t="n">
        <v>0</v>
      </c>
      <c r="D371" t="n">
        <v>10</v>
      </c>
    </row>
    <row r="372">
      <c r="A372" s="3" t="n">
        <v>45474</v>
      </c>
      <c r="B372" s="4" t="n">
        <v>4410</v>
      </c>
      <c r="C372" t="n">
        <v>0</v>
      </c>
      <c r="D372" t="n">
        <v>10</v>
      </c>
    </row>
    <row r="373">
      <c r="A373" s="3" t="n">
        <v>45475</v>
      </c>
      <c r="B373" s="4" t="n">
        <v>4410</v>
      </c>
      <c r="C373" t="n">
        <v>0</v>
      </c>
      <c r="D373" t="n">
        <v>10</v>
      </c>
    </row>
    <row r="374">
      <c r="A374" s="3" t="n">
        <v>45476</v>
      </c>
      <c r="B374" s="4" t="n">
        <v>4367</v>
      </c>
      <c r="C374" t="n">
        <v>-0.98</v>
      </c>
      <c r="D374" t="n">
        <v>10</v>
      </c>
    </row>
    <row r="375">
      <c r="A375" s="3" t="n">
        <v>45477</v>
      </c>
      <c r="B375" s="4" t="n">
        <v>4367</v>
      </c>
      <c r="C375" t="n">
        <v>0</v>
      </c>
      <c r="D375" t="n">
        <v>10</v>
      </c>
    </row>
    <row r="376">
      <c r="A376" s="3" t="n">
        <v>45478</v>
      </c>
      <c r="B376" s="4" t="n">
        <v>4367</v>
      </c>
      <c r="C376" t="n">
        <v>0</v>
      </c>
      <c r="D376" t="n">
        <v>10</v>
      </c>
    </row>
    <row r="377">
      <c r="A377" s="3" t="n">
        <v>45481</v>
      </c>
      <c r="B377" s="4" t="n">
        <v>4367</v>
      </c>
      <c r="C377" t="n">
        <v>0</v>
      </c>
      <c r="D377" t="n">
        <v>10</v>
      </c>
    </row>
    <row r="378">
      <c r="A378" s="3" t="n">
        <v>45482</v>
      </c>
      <c r="B378" s="4" t="n">
        <v>4367</v>
      </c>
      <c r="C378" t="n">
        <v>0</v>
      </c>
      <c r="D378" t="n">
        <v>10</v>
      </c>
    </row>
    <row r="379">
      <c r="A379" s="3" t="n">
        <v>45483</v>
      </c>
      <c r="B379" s="4" t="n">
        <v>4450</v>
      </c>
      <c r="C379" t="n">
        <v>1.9</v>
      </c>
      <c r="D379" t="n">
        <v>10</v>
      </c>
    </row>
    <row r="380">
      <c r="A380" s="3" t="n">
        <v>45484</v>
      </c>
      <c r="B380" s="4" t="n">
        <v>5117</v>
      </c>
      <c r="C380" t="n">
        <v>14.99</v>
      </c>
      <c r="D380" t="n">
        <v>10</v>
      </c>
    </row>
    <row r="381">
      <c r="A381" s="3" t="n">
        <v>45485</v>
      </c>
      <c r="B381" s="4" t="n">
        <v>5117</v>
      </c>
      <c r="C381" t="n">
        <v>0</v>
      </c>
      <c r="D381" t="n">
        <v>10</v>
      </c>
    </row>
    <row r="382">
      <c r="A382" s="3" t="n">
        <v>45488</v>
      </c>
      <c r="B382" s="4" t="n">
        <v>5240</v>
      </c>
      <c r="C382" t="n">
        <v>2.4</v>
      </c>
      <c r="D382" t="n">
        <v>10</v>
      </c>
    </row>
    <row r="383">
      <c r="A383" s="3" t="n">
        <v>45489</v>
      </c>
      <c r="B383" s="4" t="n">
        <v>5240</v>
      </c>
      <c r="C383" t="n">
        <v>0</v>
      </c>
      <c r="D383" t="n">
        <v>10</v>
      </c>
    </row>
    <row r="384">
      <c r="A384" s="3" t="n">
        <v>45490</v>
      </c>
      <c r="B384" s="4" t="n">
        <v>5240</v>
      </c>
      <c r="C384" t="n">
        <v>0</v>
      </c>
      <c r="D384" t="n">
        <v>10</v>
      </c>
    </row>
    <row r="385">
      <c r="A385" s="3" t="n">
        <v>45491</v>
      </c>
      <c r="B385" s="4" t="n">
        <v>5240</v>
      </c>
      <c r="C385" t="n">
        <v>0</v>
      </c>
      <c r="D385" t="n">
        <v>10</v>
      </c>
    </row>
    <row r="386">
      <c r="A386" s="3" t="n">
        <v>45492</v>
      </c>
      <c r="B386" s="4" t="n">
        <v>5240</v>
      </c>
      <c r="C386" t="n">
        <v>0</v>
      </c>
      <c r="D386" t="n">
        <v>10</v>
      </c>
    </row>
    <row r="387">
      <c r="A387" s="3" t="n">
        <v>45495</v>
      </c>
      <c r="B387" s="4" t="n">
        <v>5240</v>
      </c>
      <c r="C387" t="n">
        <v>0</v>
      </c>
      <c r="D387" t="n">
        <v>10</v>
      </c>
    </row>
    <row r="388">
      <c r="A388" s="3" t="n">
        <v>45496</v>
      </c>
      <c r="B388" s="4" t="n">
        <v>5240</v>
      </c>
      <c r="C388" t="n">
        <v>0</v>
      </c>
      <c r="D388" t="n">
        <v>10</v>
      </c>
    </row>
    <row r="389">
      <c r="A389" s="3" t="n">
        <v>45497</v>
      </c>
      <c r="B389" s="4" t="n">
        <v>5240</v>
      </c>
      <c r="C389" t="n">
        <v>0</v>
      </c>
      <c r="D389" t="n">
        <v>10</v>
      </c>
    </row>
    <row r="390">
      <c r="A390" s="3" t="n">
        <v>45498</v>
      </c>
      <c r="B390" s="4" t="n">
        <v>4407</v>
      </c>
      <c r="C390" t="n">
        <v>-15.9</v>
      </c>
      <c r="D390" t="n">
        <v>10</v>
      </c>
    </row>
    <row r="391">
      <c r="A391" s="3" t="n">
        <v>45499</v>
      </c>
      <c r="B391" s="4" t="n">
        <v>4407</v>
      </c>
      <c r="C391" t="n">
        <v>0</v>
      </c>
      <c r="D391" t="n">
        <v>10</v>
      </c>
    </row>
    <row r="392">
      <c r="A392" s="3" t="n">
        <v>45502</v>
      </c>
      <c r="B392" s="4" t="n">
        <v>4407</v>
      </c>
      <c r="C392" t="n">
        <v>0</v>
      </c>
      <c r="D392" t="n">
        <v>10</v>
      </c>
    </row>
    <row r="393">
      <c r="A393" s="3" t="n">
        <v>45503</v>
      </c>
      <c r="B393" s="4" t="n">
        <v>4407</v>
      </c>
      <c r="C393" t="n">
        <v>0</v>
      </c>
      <c r="D393" t="n">
        <v>10</v>
      </c>
    </row>
    <row r="394">
      <c r="A394" s="3" t="n">
        <v>45504</v>
      </c>
      <c r="B394" s="4" t="n">
        <v>4407</v>
      </c>
      <c r="C394" t="n">
        <v>0</v>
      </c>
      <c r="D394" t="n">
        <v>10</v>
      </c>
    </row>
    <row r="395">
      <c r="A395" s="3" t="n">
        <v>45505</v>
      </c>
      <c r="B395" s="4" t="n">
        <v>4740</v>
      </c>
      <c r="C395" t="n">
        <v>7.56</v>
      </c>
      <c r="D395" t="n">
        <v>10</v>
      </c>
    </row>
    <row r="396">
      <c r="A396" s="3" t="n">
        <v>45506</v>
      </c>
      <c r="B396" s="4" t="n">
        <v>4740</v>
      </c>
      <c r="C396" t="n">
        <v>0</v>
      </c>
      <c r="D396" t="n">
        <v>10</v>
      </c>
    </row>
    <row r="397">
      <c r="A397" s="3" t="n">
        <v>45509</v>
      </c>
      <c r="B397" s="4" t="n">
        <v>4740</v>
      </c>
      <c r="C397" t="n">
        <v>0</v>
      </c>
      <c r="D397" t="n">
        <v>10</v>
      </c>
    </row>
    <row r="398">
      <c r="A398" s="3" t="n">
        <v>45510</v>
      </c>
      <c r="B398" s="4" t="n">
        <v>4783</v>
      </c>
      <c r="C398" t="n">
        <v>0.91</v>
      </c>
      <c r="D398" t="n">
        <v>10</v>
      </c>
    </row>
    <row r="399">
      <c r="A399" s="3" t="n">
        <v>45511</v>
      </c>
      <c r="B399" s="4" t="n">
        <v>4783</v>
      </c>
      <c r="C399" t="n">
        <v>0</v>
      </c>
      <c r="D399" t="n">
        <v>10</v>
      </c>
    </row>
    <row r="400">
      <c r="A400" s="3" t="n">
        <v>45512</v>
      </c>
      <c r="B400" s="4" t="n">
        <v>4783</v>
      </c>
      <c r="C400" t="n">
        <v>0</v>
      </c>
      <c r="D400" t="n">
        <v>10</v>
      </c>
    </row>
    <row r="401">
      <c r="A401" s="3" t="n">
        <v>45513</v>
      </c>
      <c r="B401" s="4" t="n">
        <v>4783</v>
      </c>
      <c r="C401" t="n">
        <v>0</v>
      </c>
      <c r="D401" t="n">
        <v>10</v>
      </c>
    </row>
    <row r="402">
      <c r="A402" s="3" t="n">
        <v>45516</v>
      </c>
      <c r="B402" s="4" t="n">
        <v>5117</v>
      </c>
      <c r="C402" t="n">
        <v>6.98</v>
      </c>
      <c r="D402" t="n">
        <v>10</v>
      </c>
    </row>
    <row r="403">
      <c r="A403" s="3" t="n">
        <v>45517</v>
      </c>
      <c r="B403" s="4" t="n">
        <v>5117</v>
      </c>
      <c r="C403" t="n">
        <v>0</v>
      </c>
      <c r="D403" t="n">
        <v>10</v>
      </c>
    </row>
    <row r="404">
      <c r="A404" s="3" t="n">
        <v>45518</v>
      </c>
      <c r="B404" s="4" t="n">
        <v>5117</v>
      </c>
      <c r="C404" t="n">
        <v>0</v>
      </c>
      <c r="D404" t="n">
        <v>10</v>
      </c>
    </row>
    <row r="405">
      <c r="A405" s="3" t="n">
        <v>45520</v>
      </c>
      <c r="B405" s="4" t="n">
        <v>5117</v>
      </c>
      <c r="C405" t="n">
        <v>0</v>
      </c>
      <c r="D405" t="n">
        <v>10</v>
      </c>
    </row>
    <row r="406">
      <c r="A406" s="3" t="n">
        <v>45523</v>
      </c>
      <c r="B406" s="4" t="n">
        <v>5117</v>
      </c>
      <c r="C406" t="n">
        <v>0</v>
      </c>
      <c r="D406" t="n">
        <v>10</v>
      </c>
    </row>
    <row r="407">
      <c r="A407" s="3" t="n">
        <v>45524</v>
      </c>
      <c r="B407" s="4" t="n">
        <v>5117</v>
      </c>
      <c r="C407" t="n">
        <v>0</v>
      </c>
      <c r="D407" t="n">
        <v>10</v>
      </c>
    </row>
    <row r="408">
      <c r="A408" s="3" t="n">
        <v>45525</v>
      </c>
      <c r="B408" s="4" t="n">
        <v>5117</v>
      </c>
      <c r="C408" t="n">
        <v>0</v>
      </c>
      <c r="D408" t="n">
        <v>10</v>
      </c>
    </row>
    <row r="409">
      <c r="A409" s="3" t="n">
        <v>45526</v>
      </c>
      <c r="B409" s="4" t="n">
        <v>5823</v>
      </c>
      <c r="C409" t="n">
        <v>13.8</v>
      </c>
      <c r="D409" t="n">
        <v>10</v>
      </c>
    </row>
    <row r="410">
      <c r="A410" s="3" t="n">
        <v>45527</v>
      </c>
      <c r="B410" s="4" t="n">
        <v>5823</v>
      </c>
      <c r="C410" t="n">
        <v>0</v>
      </c>
      <c r="D410" t="n">
        <v>10</v>
      </c>
    </row>
    <row r="411">
      <c r="A411" s="3" t="n">
        <v>45530</v>
      </c>
      <c r="B411" s="4" t="n">
        <v>7157</v>
      </c>
      <c r="C411" t="n">
        <v>22.91</v>
      </c>
      <c r="D411" t="n">
        <v>10</v>
      </c>
    </row>
    <row r="412">
      <c r="A412" s="3" t="n">
        <v>45531</v>
      </c>
      <c r="B412" s="4" t="n">
        <v>7157</v>
      </c>
      <c r="C412" t="n">
        <v>0</v>
      </c>
      <c r="D412" t="n">
        <v>10</v>
      </c>
    </row>
    <row r="413">
      <c r="A413" s="3" t="n">
        <v>45532</v>
      </c>
      <c r="B413" s="4" t="n">
        <v>7240</v>
      </c>
      <c r="C413" t="n">
        <v>1.16</v>
      </c>
      <c r="D413" t="n">
        <v>10</v>
      </c>
    </row>
    <row r="414">
      <c r="A414" s="3" t="n">
        <v>45533</v>
      </c>
      <c r="B414" s="4" t="n">
        <v>7240</v>
      </c>
      <c r="C414" t="n">
        <v>0</v>
      </c>
      <c r="D414" t="n">
        <v>10</v>
      </c>
    </row>
    <row r="415">
      <c r="A415" s="3" t="n">
        <v>45534</v>
      </c>
      <c r="B415" s="4" t="n">
        <v>7240</v>
      </c>
      <c r="C415" t="n">
        <v>0</v>
      </c>
      <c r="D415" t="n">
        <v>10</v>
      </c>
    </row>
    <row r="416">
      <c r="A416" s="3" t="n">
        <v>45537</v>
      </c>
      <c r="B416" s="4" t="n">
        <v>7240</v>
      </c>
      <c r="C416" t="n">
        <v>0</v>
      </c>
      <c r="D416" t="n">
        <v>10</v>
      </c>
    </row>
    <row r="417">
      <c r="A417" s="3" t="n">
        <v>45538</v>
      </c>
      <c r="B417" s="4" t="n">
        <v>7240</v>
      </c>
      <c r="C417" t="n">
        <v>0</v>
      </c>
      <c r="D417" t="n">
        <v>10</v>
      </c>
    </row>
    <row r="418">
      <c r="A418" s="3" t="n">
        <v>45539</v>
      </c>
      <c r="B418" s="4" t="n">
        <v>7240</v>
      </c>
      <c r="C418" t="n">
        <v>0</v>
      </c>
      <c r="D418" t="n">
        <v>10</v>
      </c>
    </row>
    <row r="419">
      <c r="A419" s="3" t="n">
        <v>45540</v>
      </c>
      <c r="B419" s="4" t="n">
        <v>7240</v>
      </c>
      <c r="C419" t="n">
        <v>0</v>
      </c>
      <c r="D419" t="n">
        <v>10</v>
      </c>
    </row>
    <row r="420">
      <c r="A420" s="3" t="n">
        <v>45541</v>
      </c>
      <c r="B420" s="4" t="n">
        <v>7240</v>
      </c>
      <c r="C420" t="n">
        <v>0</v>
      </c>
      <c r="D420" t="n">
        <v>10</v>
      </c>
    </row>
    <row r="421">
      <c r="A421" s="3" t="n">
        <v>45544</v>
      </c>
      <c r="B421" s="4" t="n">
        <v>7240</v>
      </c>
      <c r="C421" t="n">
        <v>0</v>
      </c>
      <c r="D421" t="n">
        <v>10</v>
      </c>
    </row>
    <row r="422">
      <c r="A422" s="3" t="n">
        <v>45545</v>
      </c>
      <c r="B422" s="4" t="n">
        <v>7240</v>
      </c>
      <c r="C422" t="n">
        <v>0</v>
      </c>
      <c r="D422" t="n">
        <v>10</v>
      </c>
    </row>
    <row r="423">
      <c r="A423" s="3" t="n">
        <v>45546</v>
      </c>
      <c r="B423" s="4" t="n">
        <v>7240</v>
      </c>
      <c r="C423" t="n">
        <v>0</v>
      </c>
      <c r="D423" t="n">
        <v>10</v>
      </c>
    </row>
    <row r="424">
      <c r="A424" s="3" t="n">
        <v>45547</v>
      </c>
      <c r="B424" s="4" t="n">
        <v>8543</v>
      </c>
      <c r="C424" t="n">
        <v>18</v>
      </c>
      <c r="D424" t="n">
        <v>10</v>
      </c>
    </row>
    <row r="425">
      <c r="A425" s="3" t="n">
        <v>45548</v>
      </c>
      <c r="B425" s="4" t="n">
        <v>8710</v>
      </c>
      <c r="C425" t="n">
        <v>1.95</v>
      </c>
      <c r="D425" t="n">
        <v>10</v>
      </c>
    </row>
    <row r="426">
      <c r="A426" s="3" t="n">
        <v>45554</v>
      </c>
      <c r="B426" s="4" t="n">
        <v>9407</v>
      </c>
      <c r="C426" t="n">
        <v>8</v>
      </c>
      <c r="D426" t="n">
        <v>10</v>
      </c>
    </row>
    <row r="427">
      <c r="A427" s="3" t="n">
        <v>45555</v>
      </c>
      <c r="B427" s="4" t="n">
        <v>10073</v>
      </c>
      <c r="C427" t="n">
        <v>7.08</v>
      </c>
      <c r="D427" t="n">
        <v>10</v>
      </c>
    </row>
    <row r="428">
      <c r="A428" s="3" t="n">
        <v>45558</v>
      </c>
      <c r="B428" s="4" t="n">
        <v>10623</v>
      </c>
      <c r="C428" t="n">
        <v>5.46</v>
      </c>
      <c r="D428" t="n">
        <v>10</v>
      </c>
    </row>
    <row r="429">
      <c r="A429" s="3" t="n">
        <v>45559</v>
      </c>
      <c r="B429" s="4" t="n">
        <v>10457</v>
      </c>
      <c r="C429" t="n">
        <v>-1.56</v>
      </c>
      <c r="D429" t="n">
        <v>10</v>
      </c>
    </row>
    <row r="430">
      <c r="A430" s="3" t="n">
        <v>45560</v>
      </c>
      <c r="B430" s="4" t="n">
        <v>10457</v>
      </c>
      <c r="C430" t="n">
        <v>0</v>
      </c>
      <c r="D430" t="n">
        <v>10</v>
      </c>
    </row>
    <row r="431">
      <c r="A431" s="3" t="n">
        <v>45561</v>
      </c>
      <c r="B431" s="4" t="n">
        <v>9623</v>
      </c>
      <c r="C431" t="n">
        <v>-7.98</v>
      </c>
      <c r="D431" t="n">
        <v>10</v>
      </c>
    </row>
    <row r="432">
      <c r="A432" s="3" t="n">
        <v>45562</v>
      </c>
      <c r="B432" s="4" t="n">
        <v>9623</v>
      </c>
      <c r="C432" t="n">
        <v>0</v>
      </c>
      <c r="D432" t="n">
        <v>10</v>
      </c>
    </row>
    <row r="433">
      <c r="A433" s="3" t="n">
        <v>45565</v>
      </c>
      <c r="B433" s="4" t="n">
        <v>10123</v>
      </c>
      <c r="C433" t="n">
        <v>5.2</v>
      </c>
      <c r="D433" t="n">
        <v>10</v>
      </c>
    </row>
    <row r="434">
      <c r="A434" s="3" t="n">
        <v>45567</v>
      </c>
      <c r="B434" s="4" t="n">
        <v>10313</v>
      </c>
      <c r="C434" t="n">
        <v>1.88</v>
      </c>
      <c r="D434" t="n">
        <v>10</v>
      </c>
    </row>
    <row r="435">
      <c r="A435" s="3" t="n">
        <v>45569</v>
      </c>
      <c r="B435" s="4" t="n">
        <v>9617</v>
      </c>
      <c r="C435" t="n">
        <v>-6.75</v>
      </c>
      <c r="D435" t="n">
        <v>10</v>
      </c>
    </row>
    <row r="436">
      <c r="A436" s="3" t="n">
        <v>45572</v>
      </c>
      <c r="B436" s="4" t="n">
        <v>9617</v>
      </c>
      <c r="C436" t="n">
        <v>0</v>
      </c>
      <c r="D436" t="n">
        <v>10</v>
      </c>
    </row>
    <row r="437">
      <c r="A437" s="3" t="n">
        <v>45573</v>
      </c>
      <c r="B437" s="4" t="n">
        <v>9617</v>
      </c>
      <c r="C437" t="n">
        <v>0</v>
      </c>
      <c r="D437" t="n">
        <v>10</v>
      </c>
    </row>
    <row r="438">
      <c r="A438" s="3" t="n">
        <v>45575</v>
      </c>
      <c r="B438" s="4" t="n">
        <v>13300</v>
      </c>
      <c r="C438" t="n">
        <v>38.3</v>
      </c>
      <c r="D438" t="n">
        <v>10</v>
      </c>
    </row>
    <row r="439">
      <c r="A439" s="3" t="n">
        <v>45576</v>
      </c>
      <c r="B439" s="4" t="n">
        <v>13300</v>
      </c>
      <c r="C439" t="n">
        <v>0</v>
      </c>
      <c r="D439" t="n">
        <v>11</v>
      </c>
    </row>
    <row r="440">
      <c r="A440" s="3" t="n">
        <v>45579</v>
      </c>
      <c r="B440" s="4" t="n">
        <v>13533</v>
      </c>
      <c r="C440" t="n">
        <v>1.75</v>
      </c>
      <c r="D440" t="n">
        <v>11</v>
      </c>
    </row>
    <row r="441">
      <c r="A441" s="3" t="n">
        <v>45580</v>
      </c>
      <c r="B441" s="4" t="n">
        <v>13533</v>
      </c>
      <c r="C441" t="n">
        <v>0</v>
      </c>
      <c r="D441" t="n">
        <v>11</v>
      </c>
    </row>
    <row r="442">
      <c r="A442" s="3" t="n">
        <v>45581</v>
      </c>
      <c r="B442" s="4" t="n">
        <v>13533</v>
      </c>
      <c r="C442" t="n">
        <v>0</v>
      </c>
      <c r="D442" t="n">
        <v>11</v>
      </c>
    </row>
    <row r="443">
      <c r="A443" s="3" t="n">
        <v>45582</v>
      </c>
      <c r="B443" s="4" t="n">
        <v>15633</v>
      </c>
      <c r="C443" t="n">
        <v>15.52</v>
      </c>
      <c r="D443" t="n">
        <v>11</v>
      </c>
    </row>
    <row r="444">
      <c r="A444" s="3" t="n">
        <v>45583</v>
      </c>
      <c r="B444" s="4" t="n">
        <v>15633</v>
      </c>
      <c r="C444" t="n">
        <v>0</v>
      </c>
      <c r="D444" t="n">
        <v>11</v>
      </c>
    </row>
    <row r="445">
      <c r="A445" s="3" t="n">
        <v>45586</v>
      </c>
      <c r="B445" s="4" t="n">
        <v>15467</v>
      </c>
      <c r="C445" t="n">
        <v>-1.06</v>
      </c>
      <c r="D445" t="n">
        <v>11</v>
      </c>
    </row>
    <row r="446">
      <c r="A446" s="3" t="n">
        <v>45587</v>
      </c>
      <c r="B446" s="4" t="n">
        <v>15467</v>
      </c>
      <c r="C446" t="n">
        <v>0</v>
      </c>
      <c r="D446" t="n">
        <v>11</v>
      </c>
    </row>
    <row r="447">
      <c r="A447" s="3" t="n">
        <v>45588</v>
      </c>
      <c r="B447" s="4" t="n">
        <v>15467</v>
      </c>
      <c r="C447" t="n">
        <v>0</v>
      </c>
      <c r="D447" t="n">
        <v>11</v>
      </c>
    </row>
    <row r="448">
      <c r="A448" s="3" t="n">
        <v>45589</v>
      </c>
      <c r="B448" s="4" t="n">
        <v>11667</v>
      </c>
      <c r="C448" t="n">
        <v>-24.57</v>
      </c>
      <c r="D448" t="n">
        <v>11</v>
      </c>
    </row>
    <row r="449">
      <c r="A449" s="3" t="n">
        <v>45590</v>
      </c>
      <c r="B449" s="4" t="n">
        <v>11767</v>
      </c>
      <c r="C449" t="n">
        <v>0.86</v>
      </c>
      <c r="D449" t="n">
        <v>11</v>
      </c>
    </row>
    <row r="450">
      <c r="A450" s="3" t="n">
        <v>45593</v>
      </c>
      <c r="B450" s="4" t="n">
        <v>10877</v>
      </c>
      <c r="C450" t="n">
        <v>-7.56</v>
      </c>
      <c r="D450" t="n">
        <v>11</v>
      </c>
    </row>
    <row r="451">
      <c r="A451" s="3" t="n">
        <v>45594</v>
      </c>
      <c r="B451" s="4" t="n">
        <v>10653</v>
      </c>
      <c r="C451" t="n">
        <v>-2.06</v>
      </c>
      <c r="D451" t="n">
        <v>11</v>
      </c>
    </row>
    <row r="452">
      <c r="A452" s="3" t="n">
        <v>45595</v>
      </c>
      <c r="B452" s="4" t="n">
        <v>10653</v>
      </c>
      <c r="C452" t="n">
        <v>0</v>
      </c>
      <c r="D452" t="n">
        <v>11</v>
      </c>
    </row>
    <row r="453">
      <c r="A453" s="3" t="n">
        <v>45596</v>
      </c>
      <c r="B453" s="4" t="n">
        <v>10750</v>
      </c>
      <c r="C453" t="n">
        <v>0.91</v>
      </c>
      <c r="D453" t="n">
        <v>11</v>
      </c>
    </row>
    <row r="454">
      <c r="A454" s="3" t="n">
        <v>45597</v>
      </c>
      <c r="B454" s="4" t="n">
        <v>10750</v>
      </c>
      <c r="C454" t="n">
        <v>0</v>
      </c>
      <c r="D454" t="n">
        <v>11</v>
      </c>
    </row>
    <row r="455">
      <c r="A455" s="3" t="n">
        <v>45600</v>
      </c>
      <c r="B455" s="4" t="n">
        <v>9987</v>
      </c>
      <c r="C455" t="n">
        <v>-7.1</v>
      </c>
      <c r="D455" t="n">
        <v>11</v>
      </c>
    </row>
    <row r="456">
      <c r="A456" s="3" t="n">
        <v>45601</v>
      </c>
      <c r="B456" s="4" t="n">
        <v>9987</v>
      </c>
      <c r="C456" t="n">
        <v>0</v>
      </c>
      <c r="D456" t="n">
        <v>11</v>
      </c>
    </row>
    <row r="457">
      <c r="A457" s="3" t="n">
        <v>45602</v>
      </c>
      <c r="B457" s="4" t="n">
        <v>10210</v>
      </c>
      <c r="C457" t="n">
        <v>2.23</v>
      </c>
      <c r="D457" t="n">
        <v>11</v>
      </c>
    </row>
    <row r="458">
      <c r="A458" s="3" t="n">
        <v>45603</v>
      </c>
      <c r="B458" s="4" t="n">
        <v>10273</v>
      </c>
      <c r="C458" t="n">
        <v>0.62</v>
      </c>
      <c r="D458" t="n">
        <v>11</v>
      </c>
    </row>
    <row r="459">
      <c r="A459" s="3" t="n">
        <v>45604</v>
      </c>
      <c r="B459" s="4" t="n">
        <v>10273</v>
      </c>
      <c r="C459" t="n">
        <v>0</v>
      </c>
      <c r="D459" t="n">
        <v>11</v>
      </c>
    </row>
    <row r="460">
      <c r="A460" s="3" t="n">
        <v>45607</v>
      </c>
      <c r="B460" s="4" t="n">
        <v>10147</v>
      </c>
      <c r="C460" t="n">
        <v>-1.23</v>
      </c>
      <c r="D460" t="n">
        <v>11</v>
      </c>
    </row>
    <row r="461">
      <c r="A461" s="3" t="n">
        <v>45608</v>
      </c>
      <c r="B461" s="4" t="n">
        <v>10147</v>
      </c>
      <c r="C461" t="n">
        <v>0</v>
      </c>
      <c r="D461" t="n">
        <v>11</v>
      </c>
    </row>
    <row r="462">
      <c r="A462" s="3" t="n">
        <v>45609</v>
      </c>
      <c r="B462" s="4" t="n">
        <v>10563</v>
      </c>
      <c r="C462" t="n">
        <v>4.1</v>
      </c>
      <c r="D462" t="n">
        <v>11</v>
      </c>
    </row>
    <row r="463">
      <c r="A463" s="3" t="n">
        <v>45610</v>
      </c>
      <c r="B463" s="4" t="n">
        <v>9813</v>
      </c>
      <c r="C463" t="n">
        <v>-7.1</v>
      </c>
      <c r="D463" t="n">
        <v>11</v>
      </c>
    </row>
    <row r="464">
      <c r="A464" s="3" t="n">
        <v>45611</v>
      </c>
      <c r="B464" s="4" t="n">
        <v>9813</v>
      </c>
      <c r="C464" t="n">
        <v>0</v>
      </c>
      <c r="D464" t="n">
        <v>11</v>
      </c>
    </row>
    <row r="465">
      <c r="A465" s="3" t="n">
        <v>45614</v>
      </c>
      <c r="B465" s="4" t="n">
        <v>9947</v>
      </c>
      <c r="C465" t="n">
        <v>1.37</v>
      </c>
      <c r="D465" t="n">
        <v>11</v>
      </c>
    </row>
    <row r="466">
      <c r="A466" s="3" t="n">
        <v>45615</v>
      </c>
      <c r="B466" s="4" t="n">
        <v>9947</v>
      </c>
      <c r="C466" t="n">
        <v>0</v>
      </c>
      <c r="D466" t="n">
        <v>11</v>
      </c>
    </row>
    <row r="467">
      <c r="A467" s="3" t="n">
        <v>45616</v>
      </c>
      <c r="B467" s="4" t="n">
        <v>9947</v>
      </c>
      <c r="C467" t="n">
        <v>0</v>
      </c>
      <c r="D467" t="n">
        <v>11</v>
      </c>
    </row>
    <row r="468">
      <c r="A468" s="3" t="n">
        <v>45617</v>
      </c>
      <c r="B468" s="4" t="n">
        <v>10250</v>
      </c>
      <c r="C468" t="n">
        <v>3.05</v>
      </c>
      <c r="D468" t="n">
        <v>11</v>
      </c>
    </row>
    <row r="469">
      <c r="A469" s="3" t="n">
        <v>45618</v>
      </c>
      <c r="B469" s="4" t="n">
        <v>10250</v>
      </c>
      <c r="C469" t="n">
        <v>0</v>
      </c>
      <c r="D469" t="n">
        <v>11</v>
      </c>
    </row>
    <row r="470">
      <c r="A470" s="3" t="n">
        <v>45621</v>
      </c>
      <c r="B470" s="4" t="n">
        <v>10250</v>
      </c>
      <c r="C470" t="n">
        <v>0</v>
      </c>
      <c r="D470" t="n">
        <v>11</v>
      </c>
    </row>
    <row r="471">
      <c r="A471" s="3" t="n">
        <v>45622</v>
      </c>
      <c r="B471" s="4" t="n">
        <v>10250</v>
      </c>
      <c r="C471" t="n">
        <v>0</v>
      </c>
      <c r="D471" t="n">
        <v>11</v>
      </c>
    </row>
    <row r="472">
      <c r="A472" s="3" t="n">
        <v>45623</v>
      </c>
      <c r="B472" s="4" t="n">
        <v>10417</v>
      </c>
      <c r="C472" t="n">
        <v>1.63</v>
      </c>
      <c r="D472" t="n">
        <v>11</v>
      </c>
    </row>
    <row r="473">
      <c r="A473" s="3" t="n">
        <v>45624</v>
      </c>
      <c r="B473" s="4" t="n">
        <v>10417</v>
      </c>
      <c r="C473" t="n">
        <v>0</v>
      </c>
      <c r="D473" t="n">
        <v>11</v>
      </c>
    </row>
    <row r="474">
      <c r="A474" s="3" t="n">
        <v>45625</v>
      </c>
      <c r="B474" s="4" t="n">
        <v>10250</v>
      </c>
      <c r="C474" t="n">
        <v>-1.6</v>
      </c>
      <c r="D474" t="n">
        <v>11</v>
      </c>
    </row>
    <row r="475">
      <c r="A475" s="3" t="n">
        <v>45628</v>
      </c>
      <c r="B475" s="4" t="n">
        <v>10083</v>
      </c>
      <c r="C475" t="n">
        <v>-1.63</v>
      </c>
      <c r="D475" t="n">
        <v>11</v>
      </c>
    </row>
    <row r="476">
      <c r="A476" s="3" t="n">
        <v>45629</v>
      </c>
      <c r="B476" s="4" t="n">
        <v>10083</v>
      </c>
      <c r="C476" t="n">
        <v>0</v>
      </c>
      <c r="D476" t="n">
        <v>11</v>
      </c>
    </row>
    <row r="477">
      <c r="A477" s="3" t="n">
        <v>45630</v>
      </c>
      <c r="B477" s="4" t="n">
        <v>10083</v>
      </c>
      <c r="C477" t="n">
        <v>0</v>
      </c>
      <c r="D477" t="n">
        <v>11</v>
      </c>
    </row>
    <row r="478">
      <c r="A478" s="3" t="n">
        <v>45631</v>
      </c>
      <c r="B478" s="4" t="n">
        <v>10810</v>
      </c>
      <c r="C478" t="n">
        <v>7.21</v>
      </c>
      <c r="D478" t="n">
        <v>11</v>
      </c>
    </row>
    <row r="479">
      <c r="A479" s="3" t="n">
        <v>45635</v>
      </c>
      <c r="B479" s="4" t="n">
        <v>10813</v>
      </c>
      <c r="C479" t="n">
        <v>0.03</v>
      </c>
      <c r="D479" t="n">
        <v>11</v>
      </c>
    </row>
    <row r="480">
      <c r="A480" s="3" t="n">
        <v>45636</v>
      </c>
      <c r="B480" s="4" t="n">
        <v>10813</v>
      </c>
      <c r="C480" t="n">
        <v>0</v>
      </c>
      <c r="D480" t="n">
        <v>11</v>
      </c>
    </row>
    <row r="481">
      <c r="A481" s="3" t="n">
        <v>45637</v>
      </c>
      <c r="B481" s="4" t="n">
        <v>10813</v>
      </c>
      <c r="C481" t="n">
        <v>0</v>
      </c>
      <c r="D481" t="n">
        <v>11</v>
      </c>
    </row>
    <row r="482">
      <c r="A482" s="3" t="n">
        <v>45638</v>
      </c>
      <c r="B482" s="4" t="n">
        <v>9780</v>
      </c>
      <c r="C482" t="n">
        <v>-9.550000000000001</v>
      </c>
      <c r="D482" t="n">
        <v>11</v>
      </c>
    </row>
    <row r="483">
      <c r="A483" s="3" t="n">
        <v>45639</v>
      </c>
      <c r="B483" s="4" t="n">
        <v>9780</v>
      </c>
      <c r="C483" t="n">
        <v>0</v>
      </c>
      <c r="D483" t="n">
        <v>11</v>
      </c>
    </row>
    <row r="484">
      <c r="A484" s="3" t="n">
        <v>45642</v>
      </c>
      <c r="B484" s="4" t="n">
        <v>9780</v>
      </c>
      <c r="C484" t="n">
        <v>0</v>
      </c>
      <c r="D484" t="n">
        <v>11</v>
      </c>
    </row>
    <row r="485">
      <c r="A485" s="3" t="n">
        <v>45643</v>
      </c>
      <c r="B485" s="4" t="n">
        <v>9780</v>
      </c>
      <c r="C485" t="n">
        <v>0</v>
      </c>
      <c r="D485" t="n">
        <v>11</v>
      </c>
    </row>
    <row r="486">
      <c r="A486" s="3" t="n">
        <v>45644</v>
      </c>
      <c r="B486" s="4" t="n">
        <v>9697</v>
      </c>
      <c r="C486" t="n">
        <v>-0.85</v>
      </c>
      <c r="D486" t="n">
        <v>11</v>
      </c>
    </row>
    <row r="487">
      <c r="A487" s="3" t="n">
        <v>45645</v>
      </c>
      <c r="B487" s="4" t="n">
        <v>9697</v>
      </c>
      <c r="C487" t="n">
        <v>0</v>
      </c>
      <c r="D487" t="n">
        <v>11</v>
      </c>
    </row>
    <row r="488">
      <c r="A488" s="3" t="n">
        <v>45646</v>
      </c>
      <c r="B488" s="4" t="n">
        <v>9697</v>
      </c>
      <c r="C488" t="n">
        <v>0</v>
      </c>
      <c r="D488" t="n">
        <v>11</v>
      </c>
    </row>
    <row r="489">
      <c r="A489" s="3" t="n">
        <v>45649</v>
      </c>
      <c r="B489" s="4" t="n">
        <v>9737</v>
      </c>
      <c r="C489" t="n">
        <v>0.41</v>
      </c>
      <c r="D489" t="n">
        <v>11</v>
      </c>
    </row>
    <row r="490">
      <c r="A490" s="3" t="n">
        <v>45650</v>
      </c>
      <c r="B490" s="4" t="n">
        <v>9737</v>
      </c>
      <c r="C490" t="n">
        <v>0</v>
      </c>
      <c r="D490" t="n">
        <v>11</v>
      </c>
    </row>
    <row r="491">
      <c r="A491" s="3" t="n">
        <v>45652</v>
      </c>
      <c r="B491" s="4" t="n">
        <v>8207</v>
      </c>
      <c r="C491" t="n">
        <v>-15.71</v>
      </c>
      <c r="D491" t="n">
        <v>11</v>
      </c>
    </row>
    <row r="492">
      <c r="A492" s="3" t="n">
        <v>45653</v>
      </c>
      <c r="B492" s="4" t="n">
        <v>8207</v>
      </c>
      <c r="C492" t="n">
        <v>0</v>
      </c>
      <c r="D492" t="n">
        <v>11</v>
      </c>
    </row>
    <row r="493">
      <c r="A493" s="3" t="n">
        <v>45656</v>
      </c>
      <c r="B493" s="4" t="n">
        <v>8207</v>
      </c>
      <c r="C493" t="n">
        <v>0</v>
      </c>
      <c r="D493" t="n">
        <v>11</v>
      </c>
    </row>
    <row r="494">
      <c r="A494" s="3" t="n">
        <v>45657</v>
      </c>
      <c r="B494" s="4" t="n">
        <v>8207</v>
      </c>
      <c r="C494" t="n">
        <v>0</v>
      </c>
      <c r="D494" t="n">
        <v>11</v>
      </c>
    </row>
    <row r="495">
      <c r="A495" s="3" t="n">
        <v>45659</v>
      </c>
      <c r="B495" s="4" t="n">
        <v>7873</v>
      </c>
      <c r="C495" t="n">
        <v>-4.07</v>
      </c>
      <c r="D495" t="n">
        <v>11</v>
      </c>
    </row>
    <row r="496">
      <c r="A496" s="3" t="n">
        <v>45660</v>
      </c>
      <c r="B496" s="4" t="n">
        <v>7873</v>
      </c>
      <c r="C496" t="n">
        <v>0</v>
      </c>
      <c r="D496" t="n">
        <v>11</v>
      </c>
    </row>
    <row r="497">
      <c r="A497" s="3" t="n">
        <v>45663</v>
      </c>
      <c r="B497" s="4" t="n">
        <v>6947</v>
      </c>
      <c r="C497" t="n">
        <v>-11.76</v>
      </c>
      <c r="D497" t="n">
        <v>11</v>
      </c>
    </row>
    <row r="498">
      <c r="A498" s="3" t="n">
        <v>45664</v>
      </c>
      <c r="B498" s="4" t="n">
        <v>6947</v>
      </c>
      <c r="C498" t="n">
        <v>0</v>
      </c>
      <c r="D498" t="n">
        <v>11</v>
      </c>
    </row>
    <row r="499">
      <c r="A499" s="3" t="n">
        <v>45665</v>
      </c>
      <c r="B499" s="4" t="n">
        <v>6947</v>
      </c>
      <c r="C499" t="n">
        <v>0</v>
      </c>
      <c r="D499" t="n">
        <v>11</v>
      </c>
    </row>
    <row r="500">
      <c r="A500" s="3" t="n">
        <v>45666</v>
      </c>
      <c r="B500" s="4" t="n">
        <v>6383</v>
      </c>
      <c r="C500" t="n">
        <v>-8.119999999999999</v>
      </c>
      <c r="D500" t="n">
        <v>11</v>
      </c>
    </row>
    <row r="501">
      <c r="A501" s="3" t="n">
        <v>45667</v>
      </c>
      <c r="B501" s="4" t="n">
        <v>6383</v>
      </c>
      <c r="C501" t="n">
        <v>0</v>
      </c>
      <c r="D501" t="n">
        <v>11</v>
      </c>
    </row>
    <row r="502">
      <c r="A502" s="3" t="n">
        <v>45670</v>
      </c>
      <c r="B502" s="4" t="n">
        <v>6467</v>
      </c>
      <c r="C502" t="n">
        <v>1.32</v>
      </c>
      <c r="D502" t="n">
        <v>11</v>
      </c>
    </row>
    <row r="503">
      <c r="A503" s="3" t="n">
        <v>45671</v>
      </c>
      <c r="B503" s="4" t="n">
        <v>6383</v>
      </c>
      <c r="C503" t="n">
        <v>-1.3</v>
      </c>
      <c r="D503" t="n">
        <v>11</v>
      </c>
    </row>
    <row r="504">
      <c r="A504" s="3" t="n">
        <v>45672</v>
      </c>
      <c r="B504" s="4" t="n">
        <v>6383</v>
      </c>
      <c r="C504" t="n">
        <v>0</v>
      </c>
      <c r="D504" t="n">
        <v>11</v>
      </c>
    </row>
    <row r="505">
      <c r="A505" s="3" t="n">
        <v>45673</v>
      </c>
      <c r="B505" s="4" t="n">
        <v>6223</v>
      </c>
      <c r="C505" t="n">
        <v>-2.51</v>
      </c>
      <c r="D505" t="n">
        <v>11</v>
      </c>
    </row>
    <row r="506">
      <c r="A506" s="3" t="n">
        <v>45674</v>
      </c>
      <c r="B506" s="4" t="n">
        <v>6223</v>
      </c>
      <c r="C506" t="n">
        <v>0</v>
      </c>
      <c r="D506" t="n">
        <v>11</v>
      </c>
    </row>
    <row r="507">
      <c r="A507" s="3" t="n">
        <v>45677</v>
      </c>
      <c r="B507" s="4" t="n">
        <v>6223</v>
      </c>
      <c r="C507" t="n">
        <v>0</v>
      </c>
      <c r="D507" t="n">
        <v>11</v>
      </c>
    </row>
    <row r="508">
      <c r="A508" s="3" t="n">
        <v>45678</v>
      </c>
      <c r="B508" s="4" t="n">
        <v>6223</v>
      </c>
      <c r="C508" t="n">
        <v>0</v>
      </c>
      <c r="D508" t="n">
        <v>11</v>
      </c>
    </row>
    <row r="509">
      <c r="A509" s="3" t="n">
        <v>45679</v>
      </c>
      <c r="B509" s="4" t="n">
        <v>6223</v>
      </c>
      <c r="C509" t="n">
        <v>0</v>
      </c>
      <c r="D509" t="n">
        <v>11</v>
      </c>
    </row>
    <row r="510">
      <c r="A510" s="3" t="n">
        <v>45680</v>
      </c>
      <c r="B510" s="4" t="n">
        <v>7103</v>
      </c>
      <c r="C510" t="n">
        <v>14.14</v>
      </c>
      <c r="D510" t="n">
        <v>11</v>
      </c>
    </row>
    <row r="511">
      <c r="A511" s="3" t="n">
        <v>45681</v>
      </c>
      <c r="B511" s="4" t="n">
        <v>7103</v>
      </c>
      <c r="C511" t="n">
        <v>0</v>
      </c>
      <c r="D511" t="n">
        <v>11</v>
      </c>
    </row>
    <row r="512">
      <c r="A512" s="3" t="n">
        <v>45688</v>
      </c>
      <c r="B512" s="4" t="n">
        <v>7103</v>
      </c>
      <c r="C512" t="n">
        <v>0</v>
      </c>
      <c r="D512" t="n">
        <v>11</v>
      </c>
    </row>
    <row r="513">
      <c r="A513" s="3" t="n">
        <v>45691</v>
      </c>
      <c r="B513" s="4" t="n">
        <v>7103</v>
      </c>
      <c r="C513" t="n">
        <v>0</v>
      </c>
      <c r="D513" t="n">
        <v>11</v>
      </c>
    </row>
    <row r="514">
      <c r="A514" s="3" t="n">
        <v>45692</v>
      </c>
      <c r="B514" s="4" t="n">
        <v>7187</v>
      </c>
      <c r="C514" t="n">
        <v>1.18</v>
      </c>
      <c r="D514" t="n">
        <v>11</v>
      </c>
    </row>
    <row r="515">
      <c r="A515" s="3" t="n">
        <v>45693</v>
      </c>
      <c r="B515" s="4" t="n">
        <v>6947</v>
      </c>
      <c r="C515" t="n">
        <v>-3.34</v>
      </c>
      <c r="D515" t="n">
        <v>11</v>
      </c>
    </row>
    <row r="516">
      <c r="A516" s="3" t="n">
        <v>45694</v>
      </c>
      <c r="B516" s="4" t="n">
        <v>6723</v>
      </c>
      <c r="C516" t="n">
        <v>-3.22</v>
      </c>
      <c r="D516" t="n">
        <v>11</v>
      </c>
    </row>
    <row r="517">
      <c r="A517" s="3" t="n">
        <v>45695</v>
      </c>
      <c r="B517" s="4" t="n">
        <v>6613</v>
      </c>
      <c r="C517" t="n">
        <v>-1.64</v>
      </c>
      <c r="D517" t="n">
        <v>11</v>
      </c>
    </row>
    <row r="518">
      <c r="A518" s="3" t="n">
        <v>45698</v>
      </c>
      <c r="B518" s="4" t="n">
        <v>6613</v>
      </c>
      <c r="C518" t="n">
        <v>0</v>
      </c>
      <c r="D518" t="n">
        <v>11</v>
      </c>
    </row>
    <row r="519">
      <c r="A519" s="3" t="n">
        <v>45699</v>
      </c>
      <c r="B519" s="4" t="n">
        <v>6613</v>
      </c>
      <c r="C519" t="n">
        <v>0</v>
      </c>
      <c r="D519" t="n">
        <v>11</v>
      </c>
    </row>
    <row r="520">
      <c r="A520" s="3" t="n">
        <v>45700</v>
      </c>
      <c r="B520" s="4" t="n">
        <v>6613</v>
      </c>
      <c r="C520" t="n">
        <v>0</v>
      </c>
      <c r="D520" t="n">
        <v>11</v>
      </c>
    </row>
    <row r="521">
      <c r="A521" s="3" t="n">
        <v>45701</v>
      </c>
      <c r="B521" s="4" t="n">
        <v>6613</v>
      </c>
      <c r="C521" t="n">
        <v>0</v>
      </c>
      <c r="D521" t="n">
        <v>11</v>
      </c>
    </row>
    <row r="522">
      <c r="A522" s="3" t="n">
        <v>45702</v>
      </c>
      <c r="B522" s="4" t="n">
        <v>6613</v>
      </c>
      <c r="C522" t="n">
        <v>0</v>
      </c>
      <c r="D522" t="n">
        <v>11</v>
      </c>
    </row>
    <row r="523">
      <c r="A523" s="3" t="n">
        <v>45705</v>
      </c>
      <c r="B523" s="4" t="n">
        <v>6613</v>
      </c>
      <c r="C523" t="n">
        <v>0</v>
      </c>
      <c r="D523" t="n">
        <v>11</v>
      </c>
    </row>
    <row r="524">
      <c r="A524" s="3" t="n">
        <v>45706</v>
      </c>
      <c r="B524" s="4" t="n">
        <v>6613</v>
      </c>
      <c r="C524" t="n">
        <v>0</v>
      </c>
      <c r="D524" t="n">
        <v>11</v>
      </c>
    </row>
    <row r="525">
      <c r="A525" s="3" t="n">
        <v>45707</v>
      </c>
      <c r="B525" s="4" t="n">
        <v>6613</v>
      </c>
      <c r="C525" t="n">
        <v>0</v>
      </c>
      <c r="D525" t="n">
        <v>11</v>
      </c>
    </row>
    <row r="526">
      <c r="A526" s="3" t="n">
        <v>45708</v>
      </c>
      <c r="B526" s="4" t="n">
        <v>7483</v>
      </c>
      <c r="C526" t="n">
        <v>13.16</v>
      </c>
      <c r="D526" t="n">
        <v>11</v>
      </c>
    </row>
    <row r="527">
      <c r="A527" s="3" t="n">
        <v>45709</v>
      </c>
      <c r="B527" s="4" t="n">
        <v>7483</v>
      </c>
      <c r="C527" t="n">
        <v>0</v>
      </c>
      <c r="D527" t="n">
        <v>11</v>
      </c>
    </row>
    <row r="528">
      <c r="A528" s="3" t="n">
        <v>45712</v>
      </c>
      <c r="B528" s="4" t="n">
        <v>7483</v>
      </c>
      <c r="C528" t="n">
        <v>0</v>
      </c>
      <c r="D528" t="n">
        <v>11</v>
      </c>
    </row>
    <row r="529">
      <c r="A529" s="3" t="n">
        <v>45713</v>
      </c>
      <c r="B529" s="4" t="n">
        <v>7483</v>
      </c>
      <c r="C529" t="n">
        <v>0</v>
      </c>
      <c r="D529" t="n">
        <v>11</v>
      </c>
    </row>
    <row r="530">
      <c r="A530" s="3" t="n">
        <v>45714</v>
      </c>
      <c r="B530" s="4" t="n">
        <v>7483</v>
      </c>
      <c r="C530" t="n">
        <v>0</v>
      </c>
      <c r="D530" t="n">
        <v>11</v>
      </c>
    </row>
    <row r="531">
      <c r="A531" s="3" t="n">
        <v>45715</v>
      </c>
      <c r="B531" s="4" t="n">
        <v>7650</v>
      </c>
      <c r="C531" t="n">
        <v>2.23</v>
      </c>
      <c r="D531" t="n">
        <v>11</v>
      </c>
    </row>
    <row r="532">
      <c r="A532" s="3" t="n">
        <v>45716</v>
      </c>
      <c r="B532" s="4" t="n">
        <v>6947</v>
      </c>
      <c r="C532" t="n">
        <v>-9.19</v>
      </c>
      <c r="D532" t="n">
        <v>11</v>
      </c>
    </row>
    <row r="533">
      <c r="A533" s="3" t="n">
        <v>45720</v>
      </c>
      <c r="B533" s="4" t="n">
        <v>6947</v>
      </c>
      <c r="C533" t="n">
        <v>0</v>
      </c>
      <c r="D533" t="n">
        <v>11</v>
      </c>
    </row>
    <row r="534">
      <c r="A534" s="3" t="n">
        <v>45721</v>
      </c>
      <c r="B534" s="4" t="n">
        <v>6947</v>
      </c>
      <c r="C534" t="n">
        <v>0</v>
      </c>
      <c r="D534" t="n">
        <v>11</v>
      </c>
    </row>
    <row r="535">
      <c r="A535" s="3" t="n">
        <v>45722</v>
      </c>
      <c r="B535" s="4" t="n">
        <v>7580</v>
      </c>
      <c r="C535" t="n">
        <v>9.109999999999999</v>
      </c>
      <c r="D535" t="n">
        <v>11</v>
      </c>
    </row>
    <row r="536">
      <c r="A536" s="3" t="n">
        <v>45723</v>
      </c>
      <c r="B536" s="4" t="n">
        <v>7580</v>
      </c>
      <c r="C536" t="n">
        <v>0</v>
      </c>
      <c r="D536" t="n">
        <v>11</v>
      </c>
    </row>
    <row r="537">
      <c r="A537" s="3" t="n">
        <v>45726</v>
      </c>
      <c r="B537" s="4" t="n">
        <v>7580</v>
      </c>
      <c r="C537" t="n">
        <v>0</v>
      </c>
      <c r="D537" t="n">
        <v>11</v>
      </c>
    </row>
    <row r="538">
      <c r="A538" s="3" t="n">
        <v>45727</v>
      </c>
      <c r="B538" s="4" t="n">
        <v>7580</v>
      </c>
      <c r="C538" t="n">
        <v>0</v>
      </c>
      <c r="D538" t="n">
        <v>11</v>
      </c>
    </row>
    <row r="539">
      <c r="A539" s="3" t="n">
        <v>45728</v>
      </c>
      <c r="B539" s="4" t="n">
        <v>7580</v>
      </c>
      <c r="C539" t="n">
        <v>0</v>
      </c>
      <c r="D539" t="n">
        <v>11</v>
      </c>
    </row>
    <row r="540">
      <c r="A540" s="3" t="n">
        <v>45729</v>
      </c>
      <c r="B540" s="4" t="n">
        <v>7580</v>
      </c>
      <c r="C540" t="n">
        <v>0</v>
      </c>
      <c r="D540" t="n">
        <v>11</v>
      </c>
    </row>
    <row r="541">
      <c r="A541" s="3" t="n">
        <v>45730</v>
      </c>
      <c r="B541" s="4" t="n">
        <v>7663</v>
      </c>
      <c r="C541" t="n">
        <v>1.09</v>
      </c>
      <c r="D541" t="n">
        <v>11</v>
      </c>
    </row>
    <row r="542">
      <c r="A542" s="3" t="n">
        <v>45733</v>
      </c>
      <c r="B542" s="4" t="n">
        <v>7663</v>
      </c>
      <c r="C542" t="n">
        <v>0</v>
      </c>
      <c r="D542" t="n">
        <v>11</v>
      </c>
    </row>
    <row r="543">
      <c r="A543" s="3" t="n">
        <v>45734</v>
      </c>
      <c r="B543" s="4" t="n">
        <v>7663</v>
      </c>
      <c r="C543" t="n">
        <v>0</v>
      </c>
      <c r="D543" t="n">
        <v>11</v>
      </c>
    </row>
    <row r="544">
      <c r="A544" s="3" t="n">
        <v>45735</v>
      </c>
      <c r="B544" s="4" t="n">
        <v>7663</v>
      </c>
      <c r="C544" t="n">
        <v>0</v>
      </c>
      <c r="D544" t="n">
        <v>11</v>
      </c>
    </row>
    <row r="545">
      <c r="A545" s="3" t="n">
        <v>45736</v>
      </c>
      <c r="B545" s="4" t="n">
        <v>6687</v>
      </c>
      <c r="C545" t="n">
        <v>-12.74</v>
      </c>
      <c r="D545" t="n">
        <v>11</v>
      </c>
    </row>
    <row r="546">
      <c r="A546" s="3" t="n">
        <v>45737</v>
      </c>
      <c r="B546" s="4" t="n">
        <v>6687</v>
      </c>
      <c r="C546" t="n">
        <v>0</v>
      </c>
      <c r="D546" t="n">
        <v>11</v>
      </c>
    </row>
    <row r="547">
      <c r="A547" s="3" t="n">
        <v>45740</v>
      </c>
      <c r="B547" s="4" t="n">
        <v>6687</v>
      </c>
      <c r="C547" t="n">
        <v>0</v>
      </c>
      <c r="D547" t="n">
        <v>13</v>
      </c>
    </row>
    <row r="548">
      <c r="A548" s="3" t="n">
        <v>45741</v>
      </c>
      <c r="B548" s="4" t="n">
        <v>6687</v>
      </c>
      <c r="C548" t="n">
        <v>0</v>
      </c>
      <c r="D548" t="n">
        <v>13</v>
      </c>
    </row>
    <row r="549">
      <c r="A549" s="3" t="n">
        <v>45742</v>
      </c>
      <c r="B549" s="4" t="n">
        <v>6687</v>
      </c>
      <c r="C549" t="n">
        <v>0</v>
      </c>
      <c r="D549" t="n">
        <v>13</v>
      </c>
    </row>
    <row r="550">
      <c r="A550" s="3" t="n">
        <v>45743</v>
      </c>
      <c r="B550" s="4" t="n">
        <v>6353</v>
      </c>
      <c r="C550" t="n">
        <v>-4.99</v>
      </c>
      <c r="D550" t="n">
        <v>13</v>
      </c>
    </row>
    <row r="551">
      <c r="A551" s="3" t="n">
        <v>45744</v>
      </c>
      <c r="B551" s="4" t="n">
        <v>6353</v>
      </c>
      <c r="C551" t="n">
        <v>0</v>
      </c>
      <c r="D551" t="n">
        <v>13</v>
      </c>
    </row>
    <row r="552">
      <c r="A552" s="3" t="n">
        <v>45747</v>
      </c>
      <c r="B552" s="4" t="n">
        <v>6353</v>
      </c>
      <c r="C552" t="n">
        <v>0</v>
      </c>
      <c r="D552" t="n">
        <v>13</v>
      </c>
    </row>
    <row r="553">
      <c r="A553" s="3" t="n">
        <v>45748</v>
      </c>
      <c r="B553" s="4" t="n">
        <v>6353</v>
      </c>
      <c r="C553" t="n">
        <v>0</v>
      </c>
      <c r="D553" t="n">
        <v>13</v>
      </c>
    </row>
    <row r="554">
      <c r="A554" s="3" t="n">
        <v>45749</v>
      </c>
      <c r="B554" s="4" t="n">
        <v>6353</v>
      </c>
      <c r="C554" t="n">
        <v>0</v>
      </c>
      <c r="D554" t="n">
        <v>13</v>
      </c>
    </row>
    <row r="555">
      <c r="A555" s="3" t="n">
        <v>45750</v>
      </c>
      <c r="B555" s="4" t="n">
        <v>6337</v>
      </c>
      <c r="C555" t="n">
        <v>-0.25</v>
      </c>
      <c r="D555" t="n">
        <v>13</v>
      </c>
    </row>
    <row r="556">
      <c r="A556" s="3" t="n">
        <v>45751</v>
      </c>
      <c r="B556" s="4" t="n">
        <v>6337</v>
      </c>
      <c r="C556" t="n">
        <v>0</v>
      </c>
      <c r="D556" t="n">
        <v>13</v>
      </c>
    </row>
    <row r="557">
      <c r="A557" s="3" t="n">
        <v>45754</v>
      </c>
      <c r="B557" s="4" t="n">
        <v>6337</v>
      </c>
      <c r="C557" t="n">
        <v>0</v>
      </c>
      <c r="D557" t="n">
        <v>13</v>
      </c>
    </row>
    <row r="558">
      <c r="A558" s="3" t="n">
        <v>45755</v>
      </c>
      <c r="B558" s="4" t="n">
        <v>6337</v>
      </c>
      <c r="C558" t="n">
        <v>0</v>
      </c>
      <c r="D558" t="n">
        <v>13</v>
      </c>
    </row>
    <row r="559">
      <c r="A559" s="3" t="n">
        <v>45756</v>
      </c>
      <c r="B559" s="4" t="n">
        <v>6337</v>
      </c>
      <c r="C559" t="n">
        <v>0</v>
      </c>
      <c r="D559" t="n">
        <v>13</v>
      </c>
    </row>
    <row r="560">
      <c r="A560" s="3" t="n">
        <v>45757</v>
      </c>
      <c r="B560" s="4" t="n">
        <v>6003</v>
      </c>
      <c r="C560" t="n">
        <v>-5.27</v>
      </c>
      <c r="D560" t="n">
        <v>13</v>
      </c>
    </row>
    <row r="561">
      <c r="A561" s="3" t="n">
        <v>45758</v>
      </c>
      <c r="B561" s="4" t="n">
        <v>6003</v>
      </c>
      <c r="C561" t="n">
        <v>0</v>
      </c>
      <c r="D561" t="n">
        <v>13</v>
      </c>
    </row>
    <row r="562">
      <c r="A562" s="3" t="n">
        <v>45761</v>
      </c>
      <c r="B562" s="4" t="n">
        <v>6003</v>
      </c>
      <c r="C562" t="n">
        <v>0</v>
      </c>
      <c r="D562" t="n">
        <v>13</v>
      </c>
    </row>
    <row r="563">
      <c r="A563" s="3" t="n">
        <v>45762</v>
      </c>
      <c r="B563" s="4" t="n">
        <v>6003</v>
      </c>
      <c r="C563" t="n">
        <v>0</v>
      </c>
      <c r="D563" t="n">
        <v>13</v>
      </c>
    </row>
    <row r="564">
      <c r="A564" s="3" t="n">
        <v>45763</v>
      </c>
      <c r="B564" s="4" t="n">
        <v>6003</v>
      </c>
      <c r="C564" t="n">
        <v>0</v>
      </c>
      <c r="D564" t="n">
        <v>13</v>
      </c>
    </row>
    <row r="565">
      <c r="A565" s="3" t="n">
        <v>45764</v>
      </c>
      <c r="B565" s="4" t="n">
        <v>5820</v>
      </c>
      <c r="C565" t="n">
        <v>-3.05</v>
      </c>
      <c r="D565" t="n">
        <v>13</v>
      </c>
    </row>
    <row r="566">
      <c r="A566" s="3" t="n">
        <v>45765</v>
      </c>
      <c r="B566" s="4" t="n">
        <v>5820</v>
      </c>
      <c r="C566" t="n">
        <v>0</v>
      </c>
      <c r="D566" t="n">
        <v>13</v>
      </c>
    </row>
    <row r="567">
      <c r="A567" s="3" t="n">
        <v>45768</v>
      </c>
      <c r="B567" s="4" t="n">
        <v>5820</v>
      </c>
      <c r="C567" t="n">
        <v>0</v>
      </c>
      <c r="D567" t="n">
        <v>13</v>
      </c>
    </row>
    <row r="568">
      <c r="A568" s="3" t="n">
        <v>45769</v>
      </c>
      <c r="B568" s="4" t="n">
        <v>5653</v>
      </c>
      <c r="C568" t="n">
        <v>-2.87</v>
      </c>
      <c r="D568" t="n">
        <v>13</v>
      </c>
    </row>
    <row r="569">
      <c r="A569" s="3" t="n">
        <v>45770</v>
      </c>
      <c r="B569" s="4" t="n">
        <v>5653</v>
      </c>
      <c r="C569" t="n">
        <v>0</v>
      </c>
      <c r="D569" t="n">
        <v>13</v>
      </c>
    </row>
    <row r="570">
      <c r="A570" s="3" t="n">
        <v>45771</v>
      </c>
      <c r="B570" s="4" t="n">
        <v>5957</v>
      </c>
      <c r="C570" t="n">
        <v>5.38</v>
      </c>
      <c r="D570" t="n">
        <v>13</v>
      </c>
    </row>
    <row r="571">
      <c r="A571" s="3" t="n">
        <v>45772</v>
      </c>
      <c r="B571" s="4" t="n">
        <v>5290</v>
      </c>
      <c r="C571" t="n">
        <v>-11.2</v>
      </c>
      <c r="D571" t="n">
        <v>13</v>
      </c>
    </row>
    <row r="572">
      <c r="A572" s="3" t="n">
        <v>45775</v>
      </c>
      <c r="B572" s="4" t="n">
        <v>6187</v>
      </c>
      <c r="C572" t="n">
        <v>16.96</v>
      </c>
      <c r="D572" t="n">
        <v>13</v>
      </c>
    </row>
    <row r="573">
      <c r="A573" s="3" t="n">
        <v>45776</v>
      </c>
      <c r="B573" s="4" t="n">
        <v>6187</v>
      </c>
      <c r="C573" t="n">
        <v>0</v>
      </c>
      <c r="D573" t="n">
        <v>13</v>
      </c>
    </row>
    <row r="574">
      <c r="A574" s="3" t="n">
        <v>45777</v>
      </c>
      <c r="B574" s="4" t="n">
        <v>6187</v>
      </c>
      <c r="C574" t="n">
        <v>0</v>
      </c>
      <c r="D574" t="n">
        <v>13</v>
      </c>
    </row>
    <row r="575">
      <c r="A575" s="3" t="n">
        <v>45779</v>
      </c>
      <c r="B575" s="4" t="n">
        <v>5153</v>
      </c>
      <c r="C575" t="n">
        <v>-16.71</v>
      </c>
      <c r="D575" t="n">
        <v>13</v>
      </c>
    </row>
    <row r="576">
      <c r="A576" s="3" t="n">
        <v>45784</v>
      </c>
      <c r="B576" s="4" t="n">
        <v>4783</v>
      </c>
      <c r="C576" t="n">
        <v>-7.18</v>
      </c>
      <c r="D576" t="n">
        <v>13</v>
      </c>
    </row>
    <row r="577">
      <c r="A577" s="3" t="n">
        <v>45785</v>
      </c>
      <c r="B577" s="4" t="n">
        <v>4907</v>
      </c>
      <c r="C577" t="n">
        <v>2.59</v>
      </c>
      <c r="D577" t="n">
        <v>13</v>
      </c>
    </row>
    <row r="578">
      <c r="A578" s="3" t="n">
        <v>45786</v>
      </c>
      <c r="B578" s="4" t="n">
        <v>4907</v>
      </c>
      <c r="C578" t="n">
        <v>0</v>
      </c>
      <c r="D578" t="n">
        <v>13</v>
      </c>
    </row>
    <row r="579">
      <c r="A579" s="3" t="n">
        <v>45789</v>
      </c>
      <c r="B579" s="4" t="n">
        <v>4907</v>
      </c>
      <c r="C579" t="n">
        <v>0</v>
      </c>
      <c r="D579" t="n">
        <v>13</v>
      </c>
    </row>
    <row r="580">
      <c r="A580" s="3" t="n">
        <v>45790</v>
      </c>
      <c r="B580" s="4" t="n">
        <v>4797</v>
      </c>
      <c r="C580" t="n">
        <v>-2.24</v>
      </c>
      <c r="D580" t="n">
        <v>13</v>
      </c>
    </row>
    <row r="581">
      <c r="A581" s="3" t="n">
        <v>45791</v>
      </c>
      <c r="B581" s="4" t="n">
        <v>4797</v>
      </c>
      <c r="C581" t="n">
        <v>0</v>
      </c>
      <c r="D581" t="n">
        <v>13</v>
      </c>
    </row>
    <row r="582">
      <c r="A582" s="3" t="n">
        <v>45792</v>
      </c>
      <c r="B582" s="4" t="n">
        <v>4630</v>
      </c>
      <c r="C582" t="n">
        <v>-3.48</v>
      </c>
      <c r="D582" t="n">
        <v>13</v>
      </c>
    </row>
    <row r="583">
      <c r="A583" s="3" t="n">
        <v>45793</v>
      </c>
      <c r="B583" s="4" t="n">
        <v>4630</v>
      </c>
      <c r="C583" t="n">
        <v>0</v>
      </c>
      <c r="D583" t="n">
        <v>13</v>
      </c>
    </row>
    <row r="584">
      <c r="A584" s="3" t="n">
        <v>45796</v>
      </c>
      <c r="B584" s="4" t="n">
        <v>4630</v>
      </c>
      <c r="C584" t="n">
        <v>0</v>
      </c>
      <c r="D584" t="n">
        <v>13</v>
      </c>
    </row>
    <row r="585">
      <c r="A585" s="3" t="n">
        <v>45797</v>
      </c>
      <c r="B585" s="4" t="n">
        <v>4630</v>
      </c>
      <c r="C585" t="n">
        <v>0</v>
      </c>
      <c r="D585" t="n">
        <v>13</v>
      </c>
    </row>
    <row r="586">
      <c r="A586" s="3" t="n">
        <v>45798</v>
      </c>
      <c r="B586" s="4" t="n">
        <v>4630</v>
      </c>
      <c r="C586" t="n">
        <v>0</v>
      </c>
      <c r="D586" t="n">
        <v>13</v>
      </c>
    </row>
    <row r="587">
      <c r="A587" s="3" t="n">
        <v>45799</v>
      </c>
      <c r="B587" s="4" t="n">
        <v>4677</v>
      </c>
      <c r="C587" t="n">
        <v>1.02</v>
      </c>
      <c r="D587" t="n">
        <v>13</v>
      </c>
    </row>
    <row r="588">
      <c r="A588" s="3" t="n">
        <v>45800</v>
      </c>
      <c r="B588" s="4" t="n">
        <v>4677</v>
      </c>
      <c r="C588" t="n">
        <v>0</v>
      </c>
      <c r="D588" t="n">
        <v>13</v>
      </c>
    </row>
    <row r="589">
      <c r="A589" s="3" t="n">
        <v>45803</v>
      </c>
      <c r="B589" s="4" t="n">
        <v>4513</v>
      </c>
      <c r="C589" t="n">
        <v>-3.51</v>
      </c>
      <c r="D589" t="n">
        <v>13</v>
      </c>
    </row>
    <row r="590">
      <c r="A590" s="3" t="n">
        <v>45804</v>
      </c>
      <c r="B590" s="4" t="n">
        <v>4513</v>
      </c>
      <c r="C590" t="n">
        <v>0</v>
      </c>
      <c r="D590" t="n">
        <v>13</v>
      </c>
    </row>
    <row r="591">
      <c r="A591" s="3" t="n">
        <v>45805</v>
      </c>
      <c r="B591" s="4" t="n">
        <v>4513</v>
      </c>
      <c r="C591" t="n">
        <v>0</v>
      </c>
      <c r="D591" t="n">
        <v>13</v>
      </c>
    </row>
    <row r="592">
      <c r="A592" s="3" t="n">
        <v>45806</v>
      </c>
      <c r="B592" s="4" t="n">
        <v>4083</v>
      </c>
      <c r="C592" t="n">
        <v>-9.529999999999999</v>
      </c>
      <c r="D592" t="n">
        <v>13</v>
      </c>
    </row>
    <row r="593">
      <c r="A593" s="3" t="n">
        <v>45807</v>
      </c>
      <c r="B593" s="4" t="n">
        <v>4083</v>
      </c>
      <c r="C593" t="n">
        <v>0</v>
      </c>
      <c r="D593" t="n">
        <v>13</v>
      </c>
    </row>
    <row r="594">
      <c r="A594" s="3" t="n">
        <v>45810</v>
      </c>
      <c r="B594" s="4" t="n">
        <v>4083</v>
      </c>
      <c r="C594" t="n">
        <v>0</v>
      </c>
      <c r="D594" t="n">
        <v>13</v>
      </c>
    </row>
    <row r="595">
      <c r="A595" s="3" t="n">
        <v>45812</v>
      </c>
      <c r="B595" s="4" t="n">
        <v>4083</v>
      </c>
      <c r="C595" t="n">
        <v>0</v>
      </c>
      <c r="D595" t="n">
        <v>13</v>
      </c>
    </row>
    <row r="596">
      <c r="A596" s="3" t="n">
        <v>45813</v>
      </c>
      <c r="B596" s="4" t="n">
        <v>4483</v>
      </c>
      <c r="C596" t="n">
        <v>9.800000000000001</v>
      </c>
      <c r="D596" t="n">
        <v>13</v>
      </c>
    </row>
    <row r="597">
      <c r="A597" s="3" t="n">
        <v>45817</v>
      </c>
      <c r="B597" s="4" t="n">
        <v>4483</v>
      </c>
      <c r="C597" t="n">
        <v>0</v>
      </c>
      <c r="D597" t="n">
        <v>13</v>
      </c>
    </row>
    <row r="598">
      <c r="A598" s="3" t="n">
        <v>45818</v>
      </c>
      <c r="B598" s="4" t="n">
        <v>4483</v>
      </c>
      <c r="C598" t="n">
        <v>0</v>
      </c>
      <c r="D598" t="n">
        <v>13</v>
      </c>
    </row>
    <row r="599">
      <c r="A599" s="3" t="n">
        <v>45819</v>
      </c>
      <c r="B599" s="4" t="n">
        <v>4483</v>
      </c>
      <c r="C599" t="n">
        <v>0</v>
      </c>
      <c r="D599" t="n">
        <v>13</v>
      </c>
    </row>
    <row r="600">
      <c r="A600" s="3" t="n">
        <v>45820</v>
      </c>
      <c r="B600" s="4" t="n">
        <v>4407</v>
      </c>
      <c r="C600" t="n">
        <v>-1.7</v>
      </c>
      <c r="D600" t="n">
        <v>13</v>
      </c>
    </row>
    <row r="601">
      <c r="A601" s="3" t="n">
        <v>45821</v>
      </c>
      <c r="B601" s="4" t="n">
        <v>4407</v>
      </c>
      <c r="C601" t="n">
        <v>0</v>
      </c>
      <c r="D601" t="n">
        <v>13</v>
      </c>
    </row>
    <row r="602">
      <c r="A602" s="3" t="n">
        <v>45824</v>
      </c>
      <c r="B602" s="4" t="n">
        <v>4407</v>
      </c>
      <c r="C602" t="n">
        <v>0</v>
      </c>
      <c r="D602" t="n">
        <v>13</v>
      </c>
    </row>
    <row r="603">
      <c r="A603" s="3" t="n">
        <v>45825</v>
      </c>
      <c r="B603" s="4" t="n">
        <v>4407</v>
      </c>
      <c r="C603" t="n">
        <v>0</v>
      </c>
      <c r="D603" t="n">
        <v>13</v>
      </c>
    </row>
    <row r="604">
      <c r="A604" s="3" t="n">
        <v>45826</v>
      </c>
      <c r="B604" s="4" t="n">
        <v>4407</v>
      </c>
      <c r="C604" t="n">
        <v>0</v>
      </c>
      <c r="D604" t="n">
        <v>13</v>
      </c>
    </row>
    <row r="605">
      <c r="A605" s="3" t="n">
        <v>45827</v>
      </c>
      <c r="B605" s="4" t="n">
        <v>5177</v>
      </c>
      <c r="C605" t="n">
        <v>17.47</v>
      </c>
      <c r="D605" t="n">
        <v>13</v>
      </c>
    </row>
    <row r="606">
      <c r="A606" s="3" t="n">
        <v>45828</v>
      </c>
      <c r="B606" s="4" t="n">
        <v>5177</v>
      </c>
      <c r="C606" t="n">
        <v>0</v>
      </c>
      <c r="D606" t="n">
        <v>13</v>
      </c>
    </row>
    <row r="607">
      <c r="A607" s="3" t="n">
        <v>45831</v>
      </c>
      <c r="B607" s="4" t="n">
        <v>5177</v>
      </c>
      <c r="C607" t="n">
        <v>0</v>
      </c>
      <c r="D607" t="n">
        <v>13</v>
      </c>
    </row>
    <row r="608">
      <c r="A608" s="3" t="n">
        <v>45832</v>
      </c>
      <c r="B608" s="4" t="n">
        <v>5177</v>
      </c>
      <c r="C608" t="n">
        <v>0</v>
      </c>
      <c r="D608" t="n">
        <v>13</v>
      </c>
    </row>
    <row r="609">
      <c r="A609" s="3" t="n">
        <v>45833</v>
      </c>
      <c r="B609" s="4" t="n">
        <v>5010</v>
      </c>
      <c r="C609" t="n">
        <v>-3.23</v>
      </c>
      <c r="D609" t="n">
        <v>13</v>
      </c>
    </row>
    <row r="610">
      <c r="A610" s="3" t="n">
        <v>45834</v>
      </c>
      <c r="B610" s="4" t="n">
        <v>3800</v>
      </c>
      <c r="C610" t="n">
        <v>-24.15</v>
      </c>
      <c r="D610" t="n">
        <v>13</v>
      </c>
    </row>
    <row r="611">
      <c r="A611" s="3" t="n">
        <v>45835</v>
      </c>
      <c r="B611" s="4" t="n">
        <v>3800</v>
      </c>
      <c r="C611" t="n">
        <v>0</v>
      </c>
      <c r="D611" t="n">
        <v>13</v>
      </c>
    </row>
    <row r="612">
      <c r="A612" s="3" t="n">
        <v>45838</v>
      </c>
      <c r="B612" s="4" t="n">
        <v>3800</v>
      </c>
      <c r="C612" t="n">
        <v>0</v>
      </c>
      <c r="D612" t="n">
        <v>13</v>
      </c>
    </row>
    <row r="613">
      <c r="A613" s="3" t="n">
        <v>45839</v>
      </c>
      <c r="B613" s="4" t="n">
        <v>3800</v>
      </c>
      <c r="C613" t="n">
        <v>0</v>
      </c>
      <c r="D613" t="n">
        <v>13</v>
      </c>
    </row>
    <row r="614">
      <c r="A614" s="3" t="n">
        <v>45840</v>
      </c>
      <c r="B614" s="4" t="n">
        <v>4187</v>
      </c>
      <c r="C614" t="n">
        <v>10.18</v>
      </c>
      <c r="D614" t="n">
        <v>13</v>
      </c>
    </row>
    <row r="615">
      <c r="A615" s="3" t="n">
        <v>45841</v>
      </c>
      <c r="B615" s="4" t="n">
        <v>4660</v>
      </c>
      <c r="C615" t="n">
        <v>11.3</v>
      </c>
      <c r="D615" t="n">
        <v>13</v>
      </c>
    </row>
    <row r="616">
      <c r="A616" s="3" t="n">
        <v>45842</v>
      </c>
      <c r="B616" s="4" t="n">
        <v>4747</v>
      </c>
      <c r="C616" t="n">
        <v>1.87</v>
      </c>
      <c r="D616" t="n">
        <v>13</v>
      </c>
    </row>
    <row r="617">
      <c r="A617" s="3" t="n">
        <v>45845</v>
      </c>
      <c r="B617" s="4" t="n">
        <v>4747</v>
      </c>
      <c r="C617" t="n">
        <v>0</v>
      </c>
      <c r="D617" t="n">
        <v>13</v>
      </c>
    </row>
    <row r="618">
      <c r="A618" s="3" t="n">
        <v>45846</v>
      </c>
      <c r="B618" s="4" t="n">
        <v>4857</v>
      </c>
      <c r="C618" t="n">
        <v>2.32</v>
      </c>
      <c r="D618" t="n">
        <v>13</v>
      </c>
    </row>
    <row r="619">
      <c r="A619" s="3" t="n">
        <v>45847</v>
      </c>
      <c r="B619" s="4" t="n">
        <v>4967</v>
      </c>
      <c r="C619" t="n">
        <v>2.26</v>
      </c>
      <c r="D619" t="n">
        <v>13</v>
      </c>
    </row>
    <row r="620">
      <c r="A620" s="3" t="n">
        <v>45848</v>
      </c>
      <c r="B620" s="4" t="n">
        <v>6167</v>
      </c>
      <c r="C620" t="n">
        <v>24.16</v>
      </c>
      <c r="D620" t="n">
        <v>13</v>
      </c>
    </row>
    <row r="621">
      <c r="A621" s="3" t="n">
        <v>45849</v>
      </c>
      <c r="B621" s="4" t="n">
        <v>6167</v>
      </c>
      <c r="C621" t="n">
        <v>0</v>
      </c>
      <c r="D621" t="n">
        <v>13</v>
      </c>
    </row>
    <row r="622">
      <c r="A622" s="3" t="n">
        <v>45852</v>
      </c>
      <c r="B622" s="4" t="n">
        <v>6167</v>
      </c>
      <c r="C622" t="n">
        <v>0</v>
      </c>
      <c r="D622" t="n">
        <v>13</v>
      </c>
    </row>
    <row r="623">
      <c r="A623" s="3" t="n">
        <v>45853</v>
      </c>
      <c r="B623" s="4" t="n">
        <v>6167</v>
      </c>
      <c r="C623" t="n">
        <v>0</v>
      </c>
      <c r="D623" t="n">
        <v>13</v>
      </c>
    </row>
    <row r="624">
      <c r="A624" s="3" t="n">
        <v>45854</v>
      </c>
      <c r="B624" s="4" t="n">
        <v>6167</v>
      </c>
      <c r="C624" t="n">
        <v>0</v>
      </c>
      <c r="D624" t="n">
        <v>13</v>
      </c>
    </row>
    <row r="625">
      <c r="A625" s="3" t="n">
        <v>45855</v>
      </c>
      <c r="B625" s="4" t="n">
        <v>5483</v>
      </c>
      <c r="C625" t="n">
        <v>-11.09</v>
      </c>
      <c r="D625" t="n">
        <v>13</v>
      </c>
    </row>
    <row r="626">
      <c r="A626" s="3" t="n">
        <v>45856</v>
      </c>
      <c r="B626" s="4" t="n">
        <v>5317</v>
      </c>
      <c r="C626" t="n">
        <v>-3.03</v>
      </c>
      <c r="D626" t="n">
        <v>13</v>
      </c>
    </row>
    <row r="627">
      <c r="A627" s="3" t="n">
        <v>45859</v>
      </c>
      <c r="B627" s="4" t="n">
        <v>5263</v>
      </c>
      <c r="C627" t="n">
        <v>-1.02</v>
      </c>
      <c r="D627" t="n">
        <v>13</v>
      </c>
    </row>
    <row r="628">
      <c r="A628" s="3" t="n">
        <v>45860</v>
      </c>
      <c r="B628" s="4" t="n">
        <v>5263</v>
      </c>
      <c r="C628" t="n">
        <v>0</v>
      </c>
      <c r="D628" t="n">
        <v>13</v>
      </c>
    </row>
    <row r="629">
      <c r="A629" s="3" t="n">
        <v>45861</v>
      </c>
      <c r="B629" s="4" t="n">
        <v>5483</v>
      </c>
      <c r="C629" t="n">
        <v>4.18</v>
      </c>
      <c r="D629" t="n">
        <v>13</v>
      </c>
    </row>
    <row r="630">
      <c r="A630" s="3" t="n">
        <v>45862</v>
      </c>
      <c r="B630" s="4" t="n">
        <v>5047</v>
      </c>
      <c r="C630" t="n">
        <v>-7.95</v>
      </c>
      <c r="D630" t="n">
        <v>13</v>
      </c>
    </row>
    <row r="631">
      <c r="A631" s="3" t="n">
        <v>45863</v>
      </c>
      <c r="B631" s="4" t="n">
        <v>5047</v>
      </c>
      <c r="C631" t="n">
        <v>0</v>
      </c>
      <c r="D631" t="n">
        <v>13</v>
      </c>
    </row>
    <row r="632">
      <c r="A632" s="3" t="n">
        <v>45866</v>
      </c>
      <c r="B632" s="4" t="n">
        <v>5817</v>
      </c>
      <c r="C632" t="n">
        <v>15.26</v>
      </c>
      <c r="D632" t="n">
        <v>13</v>
      </c>
    </row>
    <row r="633">
      <c r="A633" s="3" t="n">
        <v>45867</v>
      </c>
      <c r="B633" s="4" t="n">
        <v>5873</v>
      </c>
      <c r="C633" t="n">
        <v>0.96</v>
      </c>
      <c r="D633" t="n">
        <v>13</v>
      </c>
    </row>
    <row r="634">
      <c r="A634" s="3" t="n">
        <v>45868</v>
      </c>
      <c r="B634" s="4" t="n">
        <v>5873</v>
      </c>
      <c r="C634" t="n">
        <v>0</v>
      </c>
      <c r="D634" t="n">
        <v>13</v>
      </c>
    </row>
    <row r="635">
      <c r="A635" s="3" t="n">
        <v>45869</v>
      </c>
      <c r="B635" s="4" t="n">
        <v>7427</v>
      </c>
      <c r="C635" t="n">
        <v>26.46</v>
      </c>
      <c r="D635" t="n">
        <v>13</v>
      </c>
    </row>
    <row r="636">
      <c r="A636" s="3" t="n">
        <v>45870</v>
      </c>
      <c r="B636" s="4" t="n">
        <v>8260</v>
      </c>
      <c r="C636" t="n">
        <v>11.22</v>
      </c>
      <c r="D636" t="n">
        <v>13</v>
      </c>
    </row>
    <row r="637">
      <c r="A637" s="3" t="n">
        <v>45873</v>
      </c>
      <c r="B637" s="4" t="n">
        <v>8260</v>
      </c>
      <c r="C637" t="n">
        <v>0</v>
      </c>
      <c r="D637" t="n">
        <v>13</v>
      </c>
    </row>
    <row r="638">
      <c r="A638" s="3" t="n">
        <v>45874</v>
      </c>
      <c r="B638" s="4" t="n">
        <v>8230</v>
      </c>
      <c r="C638" t="n">
        <v>-0.36</v>
      </c>
      <c r="D638" t="n">
        <v>13</v>
      </c>
    </row>
    <row r="639">
      <c r="A639" s="3" t="n">
        <v>45875</v>
      </c>
      <c r="B639" s="4" t="n">
        <v>8230</v>
      </c>
      <c r="C639" t="n">
        <v>0</v>
      </c>
      <c r="D639" t="n">
        <v>13</v>
      </c>
    </row>
    <row r="640">
      <c r="A640" s="3" t="n">
        <v>45876</v>
      </c>
      <c r="B640" s="4" t="n">
        <v>7527</v>
      </c>
      <c r="C640" t="n">
        <v>-8.539999999999999</v>
      </c>
      <c r="D640" t="n">
        <v>13</v>
      </c>
    </row>
    <row r="641">
      <c r="A641" s="3" t="n">
        <v>45877</v>
      </c>
      <c r="B641" s="4" t="n">
        <v>6677</v>
      </c>
      <c r="C641" t="n">
        <v>-11.29</v>
      </c>
      <c r="D641" t="n">
        <v>13</v>
      </c>
    </row>
    <row r="642">
      <c r="A642" s="3" t="n">
        <v>45880</v>
      </c>
      <c r="B642" s="4" t="n">
        <v>6677</v>
      </c>
      <c r="C642" t="n">
        <v>0</v>
      </c>
      <c r="D642" t="n">
        <v>13</v>
      </c>
    </row>
    <row r="643">
      <c r="A643" s="3" t="n">
        <v>45881</v>
      </c>
      <c r="B643" s="4" t="n">
        <v>6677</v>
      </c>
      <c r="C643" t="n">
        <v>0</v>
      </c>
      <c r="D643" t="n">
        <v>13</v>
      </c>
    </row>
    <row r="644">
      <c r="A644" s="3" t="n">
        <v>45882</v>
      </c>
      <c r="B644" s="4" t="n">
        <v>6677</v>
      </c>
      <c r="C644" t="n">
        <v>0</v>
      </c>
      <c r="D644" t="n">
        <v>13</v>
      </c>
    </row>
    <row r="645">
      <c r="A645" s="3" t="n">
        <v>45883</v>
      </c>
      <c r="B645" s="4" t="n">
        <v>6497</v>
      </c>
      <c r="C645" t="n">
        <v>-2.7</v>
      </c>
      <c r="D645" t="n">
        <v>13</v>
      </c>
    </row>
    <row r="646">
      <c r="A646" s="3" t="n">
        <v>45887</v>
      </c>
      <c r="B646" s="4" t="n">
        <v>6413</v>
      </c>
      <c r="C646" t="n">
        <v>-1.29</v>
      </c>
      <c r="D646" t="n">
        <v>13</v>
      </c>
    </row>
    <row r="647">
      <c r="A647" s="3" t="n">
        <v>45888</v>
      </c>
      <c r="B647" s="4" t="n">
        <v>6413</v>
      </c>
      <c r="C647" t="n">
        <v>0</v>
      </c>
      <c r="D647" t="n">
        <v>13</v>
      </c>
    </row>
    <row r="648">
      <c r="A648" s="3" t="n">
        <v>45889</v>
      </c>
      <c r="B648" s="4" t="n">
        <v>6497</v>
      </c>
      <c r="C648" t="n">
        <v>1.31</v>
      </c>
      <c r="D648" t="n">
        <v>13</v>
      </c>
    </row>
    <row r="649">
      <c r="A649" s="3" t="n">
        <v>45890</v>
      </c>
      <c r="B649" s="4" t="n">
        <v>7200</v>
      </c>
      <c r="C649" t="n">
        <v>10.82</v>
      </c>
      <c r="D649" t="n">
        <v>13</v>
      </c>
    </row>
    <row r="650">
      <c r="A650" s="3" t="n">
        <v>45891</v>
      </c>
      <c r="B650" s="4" t="n">
        <v>8517</v>
      </c>
      <c r="C650" t="n">
        <v>18.29</v>
      </c>
      <c r="D650" t="n">
        <v>13</v>
      </c>
    </row>
    <row r="651">
      <c r="A651" s="3" t="n">
        <v>45894</v>
      </c>
      <c r="B651" s="4" t="n">
        <v>8433</v>
      </c>
      <c r="C651" t="n">
        <v>-0.99</v>
      </c>
      <c r="D651" t="n">
        <v>13</v>
      </c>
    </row>
    <row r="652">
      <c r="A652" s="3" t="n">
        <v>45895</v>
      </c>
      <c r="B652" s="4" t="n">
        <v>8517</v>
      </c>
      <c r="C652" t="n">
        <v>1</v>
      </c>
      <c r="D652" t="n">
        <v>13</v>
      </c>
    </row>
    <row r="653">
      <c r="A653" s="3" t="n">
        <v>45896</v>
      </c>
      <c r="B653" s="4" t="n">
        <v>8517</v>
      </c>
      <c r="C653" t="n">
        <v>0</v>
      </c>
      <c r="D653" t="n">
        <v>13</v>
      </c>
    </row>
    <row r="654">
      <c r="A654" s="3" t="n">
        <v>45897</v>
      </c>
      <c r="B654" s="4" t="n">
        <v>8850</v>
      </c>
      <c r="C654" t="n">
        <v>3.91</v>
      </c>
      <c r="D654" t="n">
        <v>13</v>
      </c>
    </row>
    <row r="655">
      <c r="A655" s="3" t="n">
        <v>45898</v>
      </c>
      <c r="B655" s="4" t="n">
        <v>8850</v>
      </c>
      <c r="C655" t="n">
        <v>0</v>
      </c>
      <c r="D655" t="n">
        <v>13</v>
      </c>
    </row>
    <row r="656">
      <c r="A656" s="3" t="n">
        <v>45901</v>
      </c>
      <c r="B656" s="4" t="n">
        <v>8850</v>
      </c>
      <c r="C656" t="n">
        <v>0</v>
      </c>
      <c r="D656" t="n">
        <v>13</v>
      </c>
    </row>
    <row r="657">
      <c r="A657" s="3" t="n">
        <v>45911</v>
      </c>
      <c r="B657" s="4" t="n">
        <v>7380</v>
      </c>
      <c r="C657" t="n">
        <v>0</v>
      </c>
      <c r="D657" t="n">
        <v>14</v>
      </c>
    </row>
    <row r="658">
      <c r="A658" s="3" t="n">
        <v>45912</v>
      </c>
      <c r="B658" s="4" t="n">
        <v>7380</v>
      </c>
      <c r="C658" t="n">
        <v>0</v>
      </c>
      <c r="D658" t="n">
        <v>14</v>
      </c>
    </row>
    <row r="659">
      <c r="A659" s="3" t="n">
        <v>45915</v>
      </c>
      <c r="B659" s="4" t="n">
        <v>7380</v>
      </c>
      <c r="C659" t="n">
        <v>0</v>
      </c>
      <c r="D659" t="n">
        <v>14</v>
      </c>
    </row>
    <row r="660">
      <c r="A660" s="3" t="n">
        <v>45916</v>
      </c>
      <c r="B660" s="4" t="n">
        <v>7380</v>
      </c>
      <c r="C660" t="n">
        <v>0</v>
      </c>
      <c r="D660" t="n">
        <v>14</v>
      </c>
    </row>
    <row r="661">
      <c r="A661" s="3" t="n">
        <v>45917</v>
      </c>
      <c r="B661" s="4" t="n">
        <v>7380</v>
      </c>
      <c r="C661" t="n">
        <v>0</v>
      </c>
      <c r="D661" t="n">
        <v>14</v>
      </c>
    </row>
    <row r="662">
      <c r="A662" s="3" t="n">
        <v>45918</v>
      </c>
      <c r="B662" s="4" t="n">
        <v>8700</v>
      </c>
      <c r="C662" t="n">
        <v>17.89</v>
      </c>
      <c r="D662" t="n">
        <v>14</v>
      </c>
    </row>
    <row r="663">
      <c r="A663" s="3" t="n">
        <v>45919</v>
      </c>
      <c r="B663" s="4" t="n">
        <v>8700</v>
      </c>
      <c r="C663" t="n">
        <v>0</v>
      </c>
      <c r="D663" t="n">
        <v>14</v>
      </c>
    </row>
    <row r="664">
      <c r="A664" s="3" t="n">
        <v>45922</v>
      </c>
      <c r="B664" s="4" t="n">
        <v>8783</v>
      </c>
      <c r="C664" t="n">
        <v>0.95</v>
      </c>
      <c r="D664" t="n">
        <v>14</v>
      </c>
    </row>
    <row r="665">
      <c r="A665" s="3" t="n">
        <v>45923</v>
      </c>
      <c r="B665" s="4" t="n">
        <v>9007</v>
      </c>
      <c r="C665" t="n">
        <v>2.55</v>
      </c>
      <c r="D665" t="n">
        <v>14</v>
      </c>
    </row>
    <row r="666">
      <c r="A666" s="3" t="n">
        <v>45924</v>
      </c>
      <c r="B666" s="4" t="n">
        <v>9007</v>
      </c>
      <c r="C666" t="n">
        <v>0</v>
      </c>
      <c r="D666" t="n">
        <v>14</v>
      </c>
    </row>
    <row r="667">
      <c r="A667" s="3" t="n">
        <v>45925</v>
      </c>
      <c r="B667" s="4" t="n">
        <v>10673</v>
      </c>
      <c r="C667" t="n">
        <v>18.5</v>
      </c>
      <c r="D667" t="n">
        <v>14</v>
      </c>
    </row>
    <row r="668">
      <c r="A668" s="3" t="n">
        <v>45926</v>
      </c>
      <c r="B668" s="4" t="n">
        <v>10673</v>
      </c>
      <c r="C668" t="n">
        <v>0</v>
      </c>
      <c r="D668" t="n">
        <v>14</v>
      </c>
    </row>
    <row r="669">
      <c r="A669" s="3" t="n">
        <v>45929</v>
      </c>
      <c r="B669" s="4" t="n">
        <v>10673</v>
      </c>
      <c r="C669" t="n">
        <v>0</v>
      </c>
      <c r="D669" t="n">
        <v>14</v>
      </c>
    </row>
    <row r="670">
      <c r="A670" s="3" t="n">
        <v>45930</v>
      </c>
      <c r="B670" s="4" t="n">
        <v>10673</v>
      </c>
      <c r="C670" t="n">
        <v>0</v>
      </c>
      <c r="D670" t="n">
        <v>14</v>
      </c>
    </row>
    <row r="671">
      <c r="A671" s="3" t="n">
        <v>45931</v>
      </c>
      <c r="B671" s="4" t="n">
        <v>10323</v>
      </c>
      <c r="C671" t="n">
        <v>-3.28</v>
      </c>
      <c r="D671" t="n">
        <v>14</v>
      </c>
    </row>
    <row r="672">
      <c r="A672" s="3" t="n">
        <v>45932</v>
      </c>
      <c r="B672" s="4" t="n">
        <v>9323</v>
      </c>
      <c r="C672" t="n">
        <v>-9.69</v>
      </c>
      <c r="D672" t="n">
        <v>14</v>
      </c>
    </row>
    <row r="673">
      <c r="A673" s="3" t="n">
        <v>45940</v>
      </c>
      <c r="B673" s="4" t="n">
        <v>8353</v>
      </c>
      <c r="C673" t="n">
        <v>-10.4</v>
      </c>
      <c r="D673" t="n">
        <v>14</v>
      </c>
    </row>
    <row r="674">
      <c r="A674" s="3" t="n">
        <v>45943</v>
      </c>
      <c r="B674" s="4" t="n">
        <v>8353</v>
      </c>
      <c r="C674" t="n">
        <v>0</v>
      </c>
      <c r="D674" t="n">
        <v>14</v>
      </c>
    </row>
    <row r="675">
      <c r="A675" s="3" t="n">
        <v>45944</v>
      </c>
      <c r="B675" s="4" t="n">
        <v>8243</v>
      </c>
      <c r="C675" t="n">
        <v>-1.32</v>
      </c>
      <c r="D675" t="n">
        <v>14</v>
      </c>
    </row>
    <row r="676">
      <c r="A676" s="3" t="n">
        <v>45945</v>
      </c>
      <c r="B676" s="4" t="n">
        <v>7800</v>
      </c>
      <c r="C676" t="n">
        <v>-5.37</v>
      </c>
      <c r="D676" t="n">
        <v>14</v>
      </c>
    </row>
    <row r="677">
      <c r="A677" s="3" t="n">
        <v>45946</v>
      </c>
      <c r="B677" s="4" t="n">
        <v>7447</v>
      </c>
      <c r="C677" t="n">
        <v>-4.53</v>
      </c>
      <c r="D677" t="n">
        <v>14</v>
      </c>
    </row>
    <row r="678">
      <c r="A678" s="3" t="n">
        <v>45947</v>
      </c>
      <c r="B678" s="4" t="n">
        <v>7447</v>
      </c>
      <c r="C678" t="n">
        <v>0</v>
      </c>
      <c r="D678" t="n">
        <v>14</v>
      </c>
    </row>
    <row r="679">
      <c r="A679" s="3" t="n">
        <v>45950</v>
      </c>
      <c r="B679" s="4" t="n">
        <v>7447</v>
      </c>
      <c r="C679" t="n">
        <v>0</v>
      </c>
      <c r="D679" t="n">
        <v>14</v>
      </c>
    </row>
    <row r="680">
      <c r="A680" s="3" t="n">
        <v>45951</v>
      </c>
      <c r="B680" s="4" t="n">
        <v>7447</v>
      </c>
      <c r="C680" t="n">
        <v>0</v>
      </c>
      <c r="D680" t="n">
        <v>14</v>
      </c>
    </row>
    <row r="681">
      <c r="A681" s="3" t="n">
        <v>45952</v>
      </c>
      <c r="B681" s="4" t="n">
        <v>7447</v>
      </c>
      <c r="C681" t="n">
        <v>0</v>
      </c>
      <c r="D681" t="n">
        <v>14</v>
      </c>
    </row>
    <row r="682">
      <c r="A682" s="3" t="n">
        <v>45953</v>
      </c>
      <c r="B682" s="4" t="n">
        <v>9103</v>
      </c>
      <c r="C682" t="n">
        <v>22.24</v>
      </c>
      <c r="D682" t="n">
        <v>14</v>
      </c>
    </row>
    <row r="683">
      <c r="A683" s="3" t="n">
        <v>45954</v>
      </c>
      <c r="B683" s="4" t="n">
        <v>9103</v>
      </c>
      <c r="C683" t="n">
        <v>0</v>
      </c>
      <c r="D683" t="n">
        <v>14</v>
      </c>
    </row>
    <row r="684">
      <c r="A684" s="3" t="n">
        <v>45957</v>
      </c>
      <c r="B684" s="4" t="n">
        <v>9437</v>
      </c>
      <c r="C684" t="n">
        <v>3.67</v>
      </c>
      <c r="D684" t="n">
        <v>14</v>
      </c>
    </row>
    <row r="685">
      <c r="A685" s="3" t="n">
        <v>45958</v>
      </c>
      <c r="B685" s="4" t="n">
        <v>9437</v>
      </c>
      <c r="C685" t="n">
        <v>0</v>
      </c>
      <c r="D685" t="n">
        <v>14</v>
      </c>
    </row>
    <row r="686">
      <c r="A686" s="3" t="n">
        <v>45959</v>
      </c>
      <c r="B686" s="4" t="n">
        <v>9437</v>
      </c>
      <c r="C686" t="n">
        <v>0</v>
      </c>
      <c r="D686" t="n">
        <v>14</v>
      </c>
    </row>
    <row r="687">
      <c r="A687" s="3" t="n">
        <v>45960</v>
      </c>
      <c r="B687" s="4" t="n">
        <v>8800</v>
      </c>
      <c r="C687" t="n">
        <v>-6.75</v>
      </c>
      <c r="D687" t="n">
        <v>14</v>
      </c>
    </row>
    <row r="688">
      <c r="A688" s="3" t="n">
        <v>45961</v>
      </c>
      <c r="B688" s="4" t="n">
        <v>8800</v>
      </c>
      <c r="C688" t="n">
        <v>0</v>
      </c>
      <c r="D688" t="n">
        <v>14</v>
      </c>
    </row>
    <row r="689">
      <c r="A689" s="3" t="n">
        <v>45964</v>
      </c>
      <c r="B689" s="4" t="n">
        <v>8800</v>
      </c>
      <c r="C689" t="n">
        <v>0</v>
      </c>
      <c r="D689" t="n">
        <v>14</v>
      </c>
    </row>
    <row r="690">
      <c r="A690" s="3" t="n">
        <v>45965</v>
      </c>
      <c r="B690" s="4" t="n">
        <v>8800</v>
      </c>
      <c r="C690" t="n">
        <v>0</v>
      </c>
      <c r="D690" t="n">
        <v>14</v>
      </c>
    </row>
    <row r="691">
      <c r="A691" s="3" t="n">
        <v>45966</v>
      </c>
      <c r="B691" s="4" t="n">
        <v>8800</v>
      </c>
      <c r="C691" t="n">
        <v>0</v>
      </c>
      <c r="D691" t="n">
        <v>14</v>
      </c>
    </row>
    <row r="692">
      <c r="A692" s="3" t="n">
        <v>45967</v>
      </c>
      <c r="B692" s="4" t="n">
        <v>9497</v>
      </c>
      <c r="C692" t="n">
        <v>7.92</v>
      </c>
      <c r="D692" t="n">
        <v>14</v>
      </c>
    </row>
    <row r="693">
      <c r="A693" s="3" t="n">
        <v>45968</v>
      </c>
      <c r="B693" s="4" t="n">
        <v>9497</v>
      </c>
      <c r="C693" t="n">
        <v>0</v>
      </c>
      <c r="D693" t="n">
        <v>14</v>
      </c>
    </row>
    <row r="694">
      <c r="A694" s="3" t="n">
        <v>45971</v>
      </c>
      <c r="B694" s="4" t="n">
        <v>9497</v>
      </c>
      <c r="C694" t="n">
        <v>0</v>
      </c>
      <c r="D694" t="n">
        <v>14</v>
      </c>
    </row>
    <row r="695">
      <c r="A695" s="3" t="n">
        <v>45972</v>
      </c>
      <c r="B695" s="4" t="n">
        <v>9580</v>
      </c>
      <c r="C695" t="n">
        <v>0.87</v>
      </c>
      <c r="D695" t="n">
        <v>14</v>
      </c>
    </row>
    <row r="696">
      <c r="A696" s="3" t="n">
        <v>45973</v>
      </c>
      <c r="B696" s="4" t="n">
        <v>9580</v>
      </c>
      <c r="C696" t="n">
        <v>0</v>
      </c>
      <c r="D696" t="n">
        <v>14</v>
      </c>
    </row>
    <row r="697">
      <c r="A697" s="3" t="n">
        <v>45974</v>
      </c>
      <c r="B697" s="4" t="n">
        <v>9630</v>
      </c>
      <c r="C697" t="n">
        <v>0.52</v>
      </c>
      <c r="D697" t="n">
        <v>14</v>
      </c>
    </row>
    <row r="698">
      <c r="A698" s="3" t="n">
        <v>45975</v>
      </c>
      <c r="B698" s="4" t="n">
        <v>9713</v>
      </c>
      <c r="C698" t="n">
        <v>0.86</v>
      </c>
      <c r="D698" t="n">
        <v>14</v>
      </c>
    </row>
    <row r="699">
      <c r="A699" s="3" t="n">
        <v>45978</v>
      </c>
      <c r="B699" s="4" t="n">
        <v>9630</v>
      </c>
      <c r="C699" t="n">
        <v>-0.85</v>
      </c>
      <c r="D699" t="n">
        <v>14</v>
      </c>
    </row>
    <row r="700">
      <c r="A700" s="3" t="n">
        <v>45979</v>
      </c>
      <c r="B700" s="4" t="n">
        <v>9547</v>
      </c>
      <c r="C700" t="n">
        <v>-0.86</v>
      </c>
      <c r="D700" t="n">
        <v>14</v>
      </c>
    </row>
    <row r="701">
      <c r="A701" s="3" t="n">
        <v>45980</v>
      </c>
      <c r="B701" s="4" t="n">
        <v>9547</v>
      </c>
      <c r="C701" t="n">
        <v>0</v>
      </c>
      <c r="D701" t="n">
        <v>14</v>
      </c>
    </row>
    <row r="702">
      <c r="A702" s="3" t="n">
        <v>45981</v>
      </c>
      <c r="B702" s="4" t="n">
        <v>8547</v>
      </c>
      <c r="C702" t="n">
        <v>-10.47</v>
      </c>
      <c r="D702" t="n">
        <v>14</v>
      </c>
    </row>
    <row r="703">
      <c r="A703" s="3" t="n">
        <v>45982</v>
      </c>
      <c r="B703" s="4" t="n">
        <v>8547</v>
      </c>
      <c r="C703" t="n">
        <v>0</v>
      </c>
      <c r="D703" t="n">
        <v>14</v>
      </c>
    </row>
    <row r="704">
      <c r="A704" s="3" t="n">
        <v>45985</v>
      </c>
      <c r="B704" s="4" t="n">
        <v>8130</v>
      </c>
      <c r="C704" t="n">
        <v>-4.88</v>
      </c>
      <c r="D704" t="n">
        <v>14</v>
      </c>
    </row>
    <row r="705">
      <c r="A705" s="3" t="n">
        <v>45986</v>
      </c>
      <c r="B705" s="4" t="n">
        <v>8130</v>
      </c>
      <c r="C705" t="n">
        <v>0</v>
      </c>
      <c r="D705" t="n">
        <v>14</v>
      </c>
    </row>
    <row r="706">
      <c r="A706" s="3" t="n">
        <v>45987</v>
      </c>
      <c r="B706" s="4" t="n">
        <v>8020</v>
      </c>
      <c r="C706" t="n">
        <v>-1.35</v>
      </c>
      <c r="D706" t="n">
        <v>14</v>
      </c>
    </row>
    <row r="707">
      <c r="A707" s="3" t="n">
        <v>45988</v>
      </c>
      <c r="B707" s="4" t="n">
        <v>6667</v>
      </c>
      <c r="C707" t="n">
        <v>-16.87</v>
      </c>
      <c r="D707" t="n">
        <v>14</v>
      </c>
    </row>
    <row r="708">
      <c r="A708" s="3" t="n">
        <v>45989</v>
      </c>
      <c r="B708" s="4" t="n">
        <v>6667</v>
      </c>
      <c r="C708" t="n">
        <v>0</v>
      </c>
      <c r="D708" t="n">
        <v>14</v>
      </c>
    </row>
    <row r="709">
      <c r="A709" s="3" t="n">
        <v>45992</v>
      </c>
      <c r="B709" s="4" t="n">
        <v>6667</v>
      </c>
      <c r="C709" t="n">
        <v>0</v>
      </c>
      <c r="D709" t="n">
        <v>14</v>
      </c>
    </row>
    <row r="710">
      <c r="A710" s="3" t="n">
        <v>45993</v>
      </c>
      <c r="B710" s="4" t="n">
        <v>6610</v>
      </c>
      <c r="C710" t="n">
        <v>-0.85</v>
      </c>
      <c r="D710" t="n">
        <v>14</v>
      </c>
    </row>
    <row r="711">
      <c r="A711" s="3" t="n">
        <v>45994</v>
      </c>
      <c r="B711" s="4" t="n">
        <v>6610</v>
      </c>
      <c r="C711" t="n">
        <v>0</v>
      </c>
      <c r="D711" t="n">
        <v>14</v>
      </c>
    </row>
    <row r="712">
      <c r="A712" s="3" t="n">
        <v>45995</v>
      </c>
      <c r="B712" s="4" t="n">
        <v>6693</v>
      </c>
      <c r="C712" t="n">
        <v>1.26</v>
      </c>
      <c r="D712" t="n">
        <v>14</v>
      </c>
    </row>
    <row r="713">
      <c r="A713" s="3" t="n">
        <v>45999</v>
      </c>
      <c r="B713" s="4" t="n">
        <v>6527</v>
      </c>
      <c r="C713" t="n">
        <v>-2.48</v>
      </c>
      <c r="D713" t="n">
        <v>14</v>
      </c>
    </row>
    <row r="714">
      <c r="A714" s="3" t="n">
        <v>46000</v>
      </c>
      <c r="B714" s="4" t="n">
        <v>6527</v>
      </c>
      <c r="C714" t="n">
        <v>0</v>
      </c>
      <c r="D714" t="n">
        <v>14</v>
      </c>
    </row>
    <row r="715">
      <c r="A715" s="3" t="n">
        <v>46001</v>
      </c>
      <c r="B715" s="4" t="n">
        <v>6527</v>
      </c>
      <c r="C715" t="n">
        <v>0</v>
      </c>
      <c r="D715" t="n">
        <v>14</v>
      </c>
    </row>
    <row r="716">
      <c r="A716" s="3" t="n">
        <v>46002</v>
      </c>
      <c r="B716" s="4" t="n">
        <v>6527</v>
      </c>
      <c r="C716" t="n">
        <v>0</v>
      </c>
      <c r="D716" t="n">
        <v>14</v>
      </c>
    </row>
    <row r="717">
      <c r="A717" s="3" t="n">
        <v>46003</v>
      </c>
      <c r="B717" s="4" t="n">
        <v>6527</v>
      </c>
      <c r="C717" t="n">
        <v>0</v>
      </c>
      <c r="D717" t="n">
        <v>14</v>
      </c>
    </row>
    <row r="718">
      <c r="A718" s="3" t="n">
        <v>46006</v>
      </c>
      <c r="B718" s="4" t="n">
        <v>6527</v>
      </c>
      <c r="C718" t="n">
        <v>0</v>
      </c>
      <c r="D718" t="n">
        <v>14</v>
      </c>
    </row>
    <row r="719">
      <c r="A719" s="3" t="n">
        <v>46007</v>
      </c>
      <c r="B719" s="4" t="n">
        <v>6527</v>
      </c>
      <c r="C719" t="n">
        <v>0</v>
      </c>
      <c r="D719" t="n">
        <v>14</v>
      </c>
    </row>
    <row r="720">
      <c r="A720" s="3" t="n">
        <v>46008</v>
      </c>
      <c r="B720" s="4" t="n">
        <v>6527</v>
      </c>
      <c r="C720" t="n">
        <v>0</v>
      </c>
      <c r="D720" t="n">
        <v>14</v>
      </c>
    </row>
    <row r="721">
      <c r="A721" s="3" t="n">
        <v>46009</v>
      </c>
      <c r="B721" s="4" t="n">
        <v>6527</v>
      </c>
      <c r="C721" t="n">
        <v>0</v>
      </c>
      <c r="D721" t="n">
        <v>14</v>
      </c>
    </row>
    <row r="722">
      <c r="A722" s="3" t="n">
        <v>46010</v>
      </c>
      <c r="B722" s="4" t="n">
        <v>6527</v>
      </c>
      <c r="C722" t="n">
        <v>0</v>
      </c>
      <c r="D722" t="n">
        <v>14</v>
      </c>
    </row>
    <row r="723">
      <c r="A723" s="3" t="n">
        <v>46013</v>
      </c>
      <c r="B723" s="4" t="n">
        <v>6527</v>
      </c>
      <c r="C723" t="n">
        <v>0</v>
      </c>
      <c r="D723" t="n">
        <v>14</v>
      </c>
    </row>
    <row r="724">
      <c r="A724" s="3" t="n">
        <v>46014</v>
      </c>
      <c r="B724" s="4" t="n">
        <v>6787</v>
      </c>
      <c r="C724" t="n">
        <v>3.98</v>
      </c>
      <c r="D724" t="n">
        <v>14</v>
      </c>
    </row>
    <row r="725">
      <c r="A725" s="3" t="n">
        <v>46015</v>
      </c>
      <c r="B725" s="4" t="n">
        <v>6953</v>
      </c>
      <c r="C725" t="n">
        <v>2.45</v>
      </c>
      <c r="D725" t="n">
        <v>14</v>
      </c>
    </row>
    <row r="726">
      <c r="A726" s="3" t="n">
        <v>46017</v>
      </c>
      <c r="B726" s="4" t="n">
        <v>8003</v>
      </c>
      <c r="C726" t="n">
        <v>15.1</v>
      </c>
      <c r="D726" t="n">
        <v>14</v>
      </c>
    </row>
    <row r="727">
      <c r="A727" s="3" t="n">
        <v>46020</v>
      </c>
      <c r="B727" s="4" t="n">
        <v>8003</v>
      </c>
      <c r="C727" t="n">
        <v>0</v>
      </c>
      <c r="D727" t="n">
        <v>14</v>
      </c>
    </row>
    <row r="728">
      <c r="A728" s="3" t="n">
        <v>46021</v>
      </c>
      <c r="B728" s="4" t="n">
        <v>8103</v>
      </c>
      <c r="C728" t="n">
        <v>1.25</v>
      </c>
      <c r="D728" t="n">
        <v>14</v>
      </c>
    </row>
    <row r="729">
      <c r="A729" s="3" t="n">
        <v>46022</v>
      </c>
      <c r="B729" s="4" t="n">
        <v>8103</v>
      </c>
      <c r="C729" t="n">
        <v>0</v>
      </c>
      <c r="D729" t="n">
        <v>6</v>
      </c>
    </row>
    <row r="730">
      <c r="A730" s="3" t="n">
        <v>46024</v>
      </c>
      <c r="B730" s="4" t="n">
        <v>8103</v>
      </c>
      <c r="C730" t="n">
        <v>0</v>
      </c>
      <c r="D730" t="n">
        <v>6</v>
      </c>
    </row>
    <row r="731">
      <c r="A731" s="3" t="n">
        <v>46027</v>
      </c>
      <c r="B731" s="4" t="n">
        <v>8020</v>
      </c>
      <c r="C731" t="n">
        <v>-1.02</v>
      </c>
      <c r="D731" t="n">
        <v>6</v>
      </c>
    </row>
    <row r="732">
      <c r="A732" s="3" t="n">
        <v>46028</v>
      </c>
      <c r="B732" s="4" t="n">
        <v>8020</v>
      </c>
      <c r="C732" t="n">
        <v>0</v>
      </c>
      <c r="D732" t="n">
        <v>6</v>
      </c>
    </row>
    <row r="733">
      <c r="A733" s="3" t="n">
        <v>46029</v>
      </c>
      <c r="B733" s="4" t="n">
        <v>7653</v>
      </c>
      <c r="C733" t="n">
        <v>-4.58</v>
      </c>
      <c r="D733" t="n">
        <v>6</v>
      </c>
    </row>
    <row r="734">
      <c r="A734" s="3" t="n">
        <v>46030</v>
      </c>
      <c r="B734" s="4" t="n">
        <v>7653</v>
      </c>
      <c r="C734" t="n">
        <v>0</v>
      </c>
      <c r="D734" t="n">
        <v>6</v>
      </c>
    </row>
    <row r="735">
      <c r="A735" s="3" t="n">
        <v>46031</v>
      </c>
      <c r="B735" s="4" t="n">
        <v>7570</v>
      </c>
      <c r="C735" t="n">
        <v>-1.08</v>
      </c>
      <c r="D735" t="n">
        <v>6</v>
      </c>
    </row>
    <row r="736">
      <c r="A736" s="3" t="n">
        <v>46034</v>
      </c>
      <c r="B736" s="4" t="n">
        <v>7570</v>
      </c>
      <c r="C736" t="n">
        <v>0</v>
      </c>
      <c r="D736" t="n">
        <v>6</v>
      </c>
    </row>
    <row r="737">
      <c r="A737" s="3" t="n">
        <v>46035</v>
      </c>
      <c r="B737" s="4" t="n">
        <v>7570</v>
      </c>
      <c r="C737" t="n">
        <v>0</v>
      </c>
      <c r="D737" t="n">
        <v>6</v>
      </c>
    </row>
    <row r="738">
      <c r="A738" s="3" t="n">
        <v>46036</v>
      </c>
      <c r="B738" s="4" t="n">
        <v>7570</v>
      </c>
      <c r="C738" t="n">
        <v>0</v>
      </c>
      <c r="D738" t="n">
        <v>6</v>
      </c>
    </row>
    <row r="739">
      <c r="A739" s="3" t="n">
        <v>46037</v>
      </c>
      <c r="B739" s="4" t="n">
        <v>6873</v>
      </c>
      <c r="C739" t="n">
        <v>-9.210000000000001</v>
      </c>
      <c r="D739" t="n">
        <v>6</v>
      </c>
    </row>
    <row r="740">
      <c r="A740" s="3" t="n">
        <v>46038</v>
      </c>
      <c r="B740" s="4" t="n">
        <v>6290</v>
      </c>
      <c r="C740" t="n">
        <v>-8.48</v>
      </c>
      <c r="D740" t="n">
        <v>6</v>
      </c>
    </row>
    <row r="741">
      <c r="A741" s="3" t="n">
        <v>46041</v>
      </c>
      <c r="B741" s="4" t="n">
        <v>6290</v>
      </c>
      <c r="C741" t="n">
        <v>0</v>
      </c>
      <c r="D741" t="n">
        <v>6</v>
      </c>
    </row>
    <row r="742">
      <c r="A742" s="3" t="n">
        <v>46042</v>
      </c>
      <c r="B742" s="4" t="n">
        <v>6290</v>
      </c>
      <c r="C742" t="n">
        <v>0</v>
      </c>
      <c r="D742" t="n">
        <v>6</v>
      </c>
    </row>
    <row r="743">
      <c r="A743" s="3" t="n">
        <v>46043</v>
      </c>
      <c r="B743" s="4" t="n">
        <v>6290</v>
      </c>
      <c r="C743" t="n">
        <v>0</v>
      </c>
      <c r="D743" t="n">
        <v>6</v>
      </c>
    </row>
    <row r="744">
      <c r="A744" s="3" t="n">
        <v>46044</v>
      </c>
      <c r="B744" s="4" t="n">
        <v>6233</v>
      </c>
      <c r="C744" t="n">
        <v>-0.91</v>
      </c>
      <c r="D744" t="n">
        <v>6</v>
      </c>
    </row>
    <row r="745">
      <c r="A745" s="3" t="n">
        <v>46045</v>
      </c>
      <c r="B745" s="4" t="n">
        <v>6233</v>
      </c>
      <c r="C745" t="n">
        <v>0</v>
      </c>
      <c r="D745" t="n">
        <v>6</v>
      </c>
    </row>
    <row r="746">
      <c r="A746" s="3" t="n">
        <v>46048</v>
      </c>
      <c r="B746" s="4" t="n">
        <v>6233</v>
      </c>
      <c r="C746" t="n">
        <v>0</v>
      </c>
      <c r="D746" t="n">
        <v>6</v>
      </c>
    </row>
    <row r="747">
      <c r="A747" s="3" t="n">
        <v>46049</v>
      </c>
      <c r="B747" s="4" t="n">
        <v>6233</v>
      </c>
      <c r="C747" t="n">
        <v>0</v>
      </c>
      <c r="D747" t="n">
        <v>6</v>
      </c>
    </row>
    <row r="748">
      <c r="A748" s="3" t="n">
        <v>46050</v>
      </c>
      <c r="B748" s="4" t="n">
        <v>6233</v>
      </c>
      <c r="C748" t="n">
        <v>0</v>
      </c>
      <c r="D748" t="n">
        <v>6</v>
      </c>
    </row>
    <row r="749">
      <c r="A749" s="3" t="n">
        <v>46051</v>
      </c>
      <c r="B749" s="4" t="n">
        <v>6067</v>
      </c>
      <c r="C749" t="n">
        <v>-2.66</v>
      </c>
      <c r="D749" t="n">
        <v>6</v>
      </c>
    </row>
    <row r="750">
      <c r="A750" s="3" t="n">
        <v>46052</v>
      </c>
      <c r="B750" s="4" t="n">
        <v>6067</v>
      </c>
      <c r="C750" t="n">
        <v>0</v>
      </c>
      <c r="D750" t="n">
        <v>6</v>
      </c>
    </row>
    <row r="751">
      <c r="A751" s="3" t="n">
        <v>46055</v>
      </c>
      <c r="B751" s="4" t="n">
        <v>6067</v>
      </c>
      <c r="C751" t="n">
        <v>0</v>
      </c>
      <c r="D751" t="n">
        <v>6</v>
      </c>
    </row>
    <row r="752">
      <c r="A752" s="3" t="n">
        <v>46056</v>
      </c>
      <c r="B752" s="4" t="n">
        <v>6067</v>
      </c>
      <c r="C752" t="n">
        <v>0</v>
      </c>
      <c r="D752" t="n">
        <v>6</v>
      </c>
    </row>
    <row r="753">
      <c r="A753" s="3" t="n">
        <v>46057</v>
      </c>
      <c r="B753" s="4" t="n">
        <v>6067</v>
      </c>
      <c r="C753" t="n">
        <v>0</v>
      </c>
      <c r="D753" t="n">
        <v>6</v>
      </c>
    </row>
    <row r="754">
      <c r="A754" s="3" t="n">
        <v>46058</v>
      </c>
      <c r="B754" s="4" t="n">
        <v>6233</v>
      </c>
      <c r="C754" t="n">
        <v>2.74</v>
      </c>
      <c r="D754" t="n">
        <v>6</v>
      </c>
    </row>
    <row r="755">
      <c r="A755" s="3" t="n">
        <v>46059</v>
      </c>
      <c r="B755" s="4" t="n">
        <v>6233</v>
      </c>
      <c r="C755" t="n">
        <v>0</v>
      </c>
      <c r="D755" t="n">
        <v>6</v>
      </c>
    </row>
    <row r="756">
      <c r="A756" s="3" t="n">
        <v>46062</v>
      </c>
      <c r="B756" s="4" t="n">
        <v>6233</v>
      </c>
      <c r="C756" t="n">
        <v>0</v>
      </c>
      <c r="D756" t="n">
        <v>6</v>
      </c>
    </row>
    <row r="757">
      <c r="A757" s="3" t="n">
        <v>46063</v>
      </c>
      <c r="B757" s="4" t="n">
        <v>6233</v>
      </c>
      <c r="C757" t="n">
        <v>0</v>
      </c>
      <c r="D757" t="n">
        <v>6</v>
      </c>
    </row>
    <row r="758">
      <c r="A758" s="3" t="n">
        <v>46064</v>
      </c>
      <c r="B758" s="4" t="n">
        <v>6233</v>
      </c>
      <c r="C758" t="n">
        <v>0</v>
      </c>
      <c r="D758" t="n">
        <v>6</v>
      </c>
    </row>
    <row r="759">
      <c r="A759" s="3" t="n">
        <v>46065</v>
      </c>
      <c r="B759" s="4" t="n">
        <v>6317</v>
      </c>
      <c r="C759" t="n">
        <v>1.35</v>
      </c>
      <c r="D759" t="n">
        <v>6</v>
      </c>
    </row>
    <row r="760">
      <c r="A760" s="3" t="n">
        <v>46066</v>
      </c>
      <c r="B760" s="4" t="n">
        <v>6317</v>
      </c>
      <c r="C760" t="n">
        <v>0</v>
      </c>
      <c r="D760" t="n">
        <v>6</v>
      </c>
    </row>
    <row r="761">
      <c r="A761" s="3" t="n">
        <v>46072</v>
      </c>
      <c r="B761" s="4" t="n">
        <v>6317</v>
      </c>
      <c r="C761" t="n">
        <v>0</v>
      </c>
      <c r="D761" t="n">
        <v>6</v>
      </c>
    </row>
    <row r="762">
      <c r="A762" s="3" t="n">
        <v>46073</v>
      </c>
      <c r="B762" s="4" t="n">
        <v>6233</v>
      </c>
      <c r="C762" t="n">
        <v>-1.33</v>
      </c>
      <c r="D762" t="n">
        <v>6</v>
      </c>
    </row>
    <row r="763">
      <c r="A763" s="3" t="n">
        <v>46076</v>
      </c>
      <c r="B763" s="4" t="n">
        <v>6067</v>
      </c>
      <c r="C763" t="n">
        <v>-2.66</v>
      </c>
      <c r="D763" t="n">
        <v>6</v>
      </c>
    </row>
    <row r="764">
      <c r="A764" s="3" t="n">
        <v>46077</v>
      </c>
      <c r="B764" s="4" t="n">
        <v>5983</v>
      </c>
      <c r="C764" t="n">
        <v>-1.38</v>
      </c>
      <c r="D764" t="n">
        <v>6</v>
      </c>
    </row>
    <row r="765">
      <c r="A765" s="3" t="n">
        <v>46078</v>
      </c>
      <c r="B765" s="4" t="n">
        <v>5983</v>
      </c>
      <c r="C765" t="n">
        <v>0</v>
      </c>
      <c r="D765" t="n">
        <v>6</v>
      </c>
    </row>
    <row r="766">
      <c r="A766" s="3" t="n">
        <v>46079</v>
      </c>
      <c r="B766" s="4" t="n">
        <v>5920</v>
      </c>
      <c r="C766" t="n">
        <v>-1.05</v>
      </c>
      <c r="D766" t="n">
        <v>6</v>
      </c>
    </row>
    <row r="767">
      <c r="A767" s="3" t="n">
        <v>46080</v>
      </c>
      <c r="B767" s="4" t="n">
        <v>5587</v>
      </c>
      <c r="C767" t="n">
        <v>-5.63</v>
      </c>
      <c r="D767" t="n">
        <v>6</v>
      </c>
    </row>
    <row r="768">
      <c r="A768" s="3" t="n">
        <v>46084</v>
      </c>
      <c r="B768" s="4" t="n">
        <v>5587</v>
      </c>
      <c r="C768" t="n">
        <v>0</v>
      </c>
      <c r="D768" t="n">
        <v>6</v>
      </c>
    </row>
    <row r="769">
      <c r="A769" s="3" t="n">
        <v>46085</v>
      </c>
      <c r="B769" s="4" t="n">
        <v>5587</v>
      </c>
      <c r="C769" t="n">
        <v>0</v>
      </c>
      <c r="D769" t="n">
        <v>6</v>
      </c>
    </row>
    <row r="770">
      <c r="A770" s="3" t="n">
        <v>46086</v>
      </c>
      <c r="B770" s="4" t="n">
        <v>5420</v>
      </c>
      <c r="C770" t="n">
        <v>-2.99</v>
      </c>
      <c r="D770" t="n">
        <v>6</v>
      </c>
    </row>
    <row r="771">
      <c r="A771" s="3" t="n">
        <v>46087</v>
      </c>
      <c r="B771" s="4" t="n">
        <v>5670</v>
      </c>
      <c r="C771" t="n">
        <v>4.61</v>
      </c>
      <c r="D771" t="n">
        <v>6</v>
      </c>
    </row>
    <row r="772">
      <c r="A772" s="3" t="n">
        <v>46090</v>
      </c>
      <c r="B772" s="4" t="n">
        <v>5670</v>
      </c>
      <c r="C772" t="n">
        <v>0</v>
      </c>
      <c r="D772" t="n">
        <v>6</v>
      </c>
    </row>
    <row r="773">
      <c r="A773" s="3" t="n">
        <v>46091</v>
      </c>
      <c r="B773" s="4" t="n">
        <v>5670</v>
      </c>
      <c r="C773" t="n">
        <v>0</v>
      </c>
      <c r="D773" t="n">
        <v>6</v>
      </c>
    </row>
    <row r="774">
      <c r="A774" s="3" t="n">
        <v>46092</v>
      </c>
      <c r="B774" s="4" t="n">
        <v>5670</v>
      </c>
      <c r="C774" t="n">
        <v>0</v>
      </c>
      <c r="D774" t="n">
        <v>6</v>
      </c>
    </row>
    <row r="775">
      <c r="A775" s="3" t="n">
        <v>46093</v>
      </c>
      <c r="B775" s="4" t="n">
        <v>5733</v>
      </c>
      <c r="C775" t="n">
        <v>1.11</v>
      </c>
      <c r="D775" t="n">
        <v>6</v>
      </c>
    </row>
    <row r="776">
      <c r="A776" s="3" t="n">
        <v>46094</v>
      </c>
      <c r="B776" s="4" t="n">
        <v>5733</v>
      </c>
      <c r="C776" t="n">
        <v>0</v>
      </c>
      <c r="D776" t="n">
        <v>6</v>
      </c>
    </row>
    <row r="777">
      <c r="A777" s="3" t="n">
        <v>46097</v>
      </c>
      <c r="B777" s="4" t="n">
        <v>5733</v>
      </c>
      <c r="C777" t="n">
        <v>0</v>
      </c>
      <c r="D777" t="n">
        <v>6</v>
      </c>
    </row>
    <row r="778">
      <c r="A778" s="3" t="n">
        <v>46098</v>
      </c>
      <c r="B778" s="4" t="n">
        <v>5733</v>
      </c>
      <c r="C778" t="n">
        <v>0</v>
      </c>
      <c r="D778" t="n">
        <v>6</v>
      </c>
    </row>
    <row r="779">
      <c r="A779" s="3" t="n">
        <v>46099</v>
      </c>
      <c r="B779" s="4" t="n">
        <v>5733</v>
      </c>
      <c r="C779" t="n">
        <v>0</v>
      </c>
      <c r="D779" t="n">
        <v>6</v>
      </c>
    </row>
    <row r="780">
      <c r="A780" s="3" t="n">
        <v>46100</v>
      </c>
      <c r="B780" s="4" t="n">
        <v>6233</v>
      </c>
      <c r="C780" t="n">
        <v>8.720000000000001</v>
      </c>
      <c r="D780" t="n">
        <v>6</v>
      </c>
    </row>
    <row r="781">
      <c r="A781" s="3" t="n">
        <v>46101</v>
      </c>
      <c r="B781" s="4" t="n">
        <v>6233</v>
      </c>
      <c r="C781" t="n">
        <v>0</v>
      </c>
      <c r="D781" t="n">
        <v>6</v>
      </c>
    </row>
    <row r="782">
      <c r="A782" s="3" t="n">
        <v>46104</v>
      </c>
      <c r="B782" s="4" t="n">
        <v>6233</v>
      </c>
      <c r="C782" t="n">
        <v>0</v>
      </c>
      <c r="D782" t="n">
        <v>6</v>
      </c>
    </row>
    <row r="783">
      <c r="A783" s="3" t="n">
        <v>46105</v>
      </c>
      <c r="B783" s="4" t="n">
        <v>6233</v>
      </c>
      <c r="C783" t="n">
        <v>0</v>
      </c>
      <c r="D783" t="n">
        <v>6</v>
      </c>
    </row>
    <row r="784">
      <c r="A784" s="3" t="n">
        <v>46106</v>
      </c>
      <c r="B784" s="4" t="n">
        <v>6233</v>
      </c>
      <c r="C784" t="n">
        <v>0</v>
      </c>
      <c r="D784" t="n">
        <v>6</v>
      </c>
    </row>
    <row r="785">
      <c r="A785" s="3" t="n">
        <v>46107</v>
      </c>
      <c r="B785" s="4" t="n">
        <v>5983</v>
      </c>
      <c r="C785" t="n">
        <v>-4.01</v>
      </c>
      <c r="D785" t="n">
        <v>6</v>
      </c>
    </row>
    <row r="786">
      <c r="A786" s="3" t="n">
        <v>46108</v>
      </c>
      <c r="B786" s="4" t="n">
        <v>5983</v>
      </c>
      <c r="C786" t="n">
        <v>0</v>
      </c>
      <c r="D786" t="n">
        <v>6</v>
      </c>
    </row>
    <row r="787">
      <c r="A787" s="3" t="n">
        <v>46111</v>
      </c>
      <c r="B787" s="4" t="n">
        <v>5983</v>
      </c>
      <c r="C787" t="n">
        <v>0</v>
      </c>
      <c r="D787" t="n">
        <v>6</v>
      </c>
    </row>
    <row r="788">
      <c r="A788" s="3" t="n">
        <v>46112</v>
      </c>
      <c r="B788" s="4" t="n">
        <v>5983</v>
      </c>
      <c r="C788" t="n">
        <v>0</v>
      </c>
      <c r="D788" t="n">
        <v>6</v>
      </c>
    </row>
    <row r="789">
      <c r="A789" s="3" t="n">
        <v>46113</v>
      </c>
      <c r="B789" s="4" t="n">
        <v>6067</v>
      </c>
      <c r="C789" t="n">
        <v>1.4</v>
      </c>
      <c r="D789" t="n">
        <v>6</v>
      </c>
    </row>
    <row r="790">
      <c r="A790" s="3" t="n">
        <v>46114</v>
      </c>
      <c r="B790" s="4" t="n">
        <v>6067</v>
      </c>
      <c r="C790" t="n">
        <v>0</v>
      </c>
      <c r="D790" t="n">
        <v>6</v>
      </c>
    </row>
    <row r="791">
      <c r="A791" s="3" t="n">
        <v>46115</v>
      </c>
      <c r="B791" s="4" t="n">
        <v>6067</v>
      </c>
      <c r="C791" t="n">
        <v>0</v>
      </c>
      <c r="D791" t="n">
        <v>6</v>
      </c>
    </row>
    <row r="792">
      <c r="A792" s="3" t="n">
        <v>46118</v>
      </c>
      <c r="B792" s="4" t="n">
        <v>5567</v>
      </c>
      <c r="C792" t="n">
        <v>-8.24</v>
      </c>
      <c r="D792" t="n">
        <v>6</v>
      </c>
    </row>
    <row r="793">
      <c r="A793" s="3" t="n">
        <v>46119</v>
      </c>
      <c r="B793" s="4" t="n">
        <v>5567</v>
      </c>
      <c r="C793" t="n">
        <v>0</v>
      </c>
      <c r="D793" t="n">
        <v>6</v>
      </c>
    </row>
    <row r="794">
      <c r="A794" s="3" t="n">
        <v>46120</v>
      </c>
      <c r="B794" s="4" t="n">
        <v>5567</v>
      </c>
      <c r="C794" t="n">
        <v>0</v>
      </c>
      <c r="D794" t="n">
        <v>6</v>
      </c>
    </row>
    <row r="795">
      <c r="A795" s="3" t="n">
        <v>46121</v>
      </c>
      <c r="B795" s="4" t="n">
        <v>5013</v>
      </c>
      <c r="C795" t="n">
        <v>-9.949999999999999</v>
      </c>
      <c r="D795" t="n">
        <v>6</v>
      </c>
    </row>
    <row r="796">
      <c r="A796" s="3" t="n">
        <v>46122</v>
      </c>
      <c r="B796" s="4" t="n">
        <v>5013</v>
      </c>
      <c r="C796" t="n">
        <v>0</v>
      </c>
      <c r="D796" t="n">
        <v>6</v>
      </c>
    </row>
    <row r="797">
      <c r="A797" s="3" t="n">
        <v>46125</v>
      </c>
      <c r="B797" s="4" t="n">
        <v>5013</v>
      </c>
      <c r="C797" t="n">
        <v>0</v>
      </c>
      <c r="D797" t="n">
        <v>6</v>
      </c>
    </row>
    <row r="798">
      <c r="A798" s="3" t="n">
        <v>46126</v>
      </c>
      <c r="B798" s="4" t="n">
        <v>5013</v>
      </c>
      <c r="C798" t="n">
        <v>0</v>
      </c>
      <c r="D798" t="n">
        <v>6</v>
      </c>
    </row>
    <row r="799">
      <c r="A799" s="3" t="n">
        <v>46127</v>
      </c>
      <c r="B799" s="4" t="n">
        <v>5013</v>
      </c>
      <c r="C799" t="n">
        <v>0</v>
      </c>
      <c r="D799" t="n">
        <v>6</v>
      </c>
    </row>
    <row r="800">
      <c r="A800" s="3" t="n">
        <v>46128</v>
      </c>
      <c r="B800" s="4" t="n">
        <v>4930</v>
      </c>
      <c r="C800" t="n">
        <v>-1.66</v>
      </c>
      <c r="D800" t="n">
        <v>6</v>
      </c>
    </row>
    <row r="801">
      <c r="A801" s="3" t="n">
        <v>46129</v>
      </c>
      <c r="B801" s="4" t="n">
        <v>4930</v>
      </c>
      <c r="C801" t="n">
        <v>0</v>
      </c>
      <c r="D801" t="n">
        <v>6</v>
      </c>
    </row>
    <row r="802">
      <c r="A802" s="3" t="n">
        <v>46132</v>
      </c>
      <c r="B802" s="4" t="n">
        <v>4930</v>
      </c>
      <c r="C802" t="n">
        <v>0</v>
      </c>
      <c r="D802" t="n">
        <v>6</v>
      </c>
    </row>
    <row r="803">
      <c r="A803" s="3" t="n">
        <v>46133</v>
      </c>
      <c r="B803" s="4" t="n">
        <v>5680</v>
      </c>
      <c r="C803" t="n">
        <v>15.21</v>
      </c>
      <c r="D803" t="n">
        <v>6</v>
      </c>
    </row>
    <row r="804">
      <c r="A804" s="3" t="n">
        <v>46134</v>
      </c>
      <c r="B804" s="4" t="n">
        <v>6150</v>
      </c>
      <c r="C804" t="n">
        <v>8.27</v>
      </c>
      <c r="D804" t="n">
        <v>6</v>
      </c>
    </row>
    <row r="805">
      <c r="A805" s="3" t="n">
        <v>46135</v>
      </c>
      <c r="B805" s="4" t="n">
        <v>5373</v>
      </c>
      <c r="C805" t="n">
        <v>-12.63</v>
      </c>
      <c r="D805" t="n">
        <v>6</v>
      </c>
    </row>
    <row r="806">
      <c r="A806" s="3" t="n">
        <v>46136</v>
      </c>
      <c r="B806" s="4" t="n">
        <v>5207</v>
      </c>
      <c r="C806" t="n">
        <v>-3.09</v>
      </c>
      <c r="D806" t="n">
        <v>6</v>
      </c>
    </row>
    <row r="807">
      <c r="A807" s="3" t="n">
        <v>46139</v>
      </c>
      <c r="B807" s="4" t="n">
        <v>5290</v>
      </c>
      <c r="C807" t="n">
        <v>1.59</v>
      </c>
      <c r="D807" t="n">
        <v>6</v>
      </c>
    </row>
    <row r="808">
      <c r="A808" s="3" t="n">
        <v>46140</v>
      </c>
      <c r="B808" s="4" t="n">
        <v>5290</v>
      </c>
      <c r="C808" t="n">
        <v>0</v>
      </c>
      <c r="D808" t="n">
        <v>6</v>
      </c>
    </row>
    <row r="809">
      <c r="A809" s="3" t="n">
        <v>46141</v>
      </c>
      <c r="B809" s="4" t="n">
        <v>5290</v>
      </c>
      <c r="C809" t="n">
        <v>0</v>
      </c>
      <c r="D809" t="n">
        <v>6</v>
      </c>
    </row>
    <row r="810">
      <c r="A810" s="3" t="n">
        <v>46142</v>
      </c>
      <c r="B810" s="4" t="n">
        <v>5770</v>
      </c>
      <c r="C810" t="n">
        <v>9.07</v>
      </c>
      <c r="D810" t="n">
        <v>6</v>
      </c>
    </row>
    <row r="811">
      <c r="A811" s="3" t="n">
        <v>46146</v>
      </c>
      <c r="B811" s="4" t="n">
        <v>5853</v>
      </c>
      <c r="C811" t="n">
        <v>1.44</v>
      </c>
      <c r="D811" t="n">
        <v>6</v>
      </c>
    </row>
    <row r="812">
      <c r="A812" s="3" t="n">
        <v>46148</v>
      </c>
      <c r="B812" s="4" t="n">
        <v>5853</v>
      </c>
      <c r="C812" t="n">
        <v>0</v>
      </c>
      <c r="D812" t="n">
        <v>6</v>
      </c>
    </row>
    <row r="813">
      <c r="A813" s="3" t="n">
        <v>46149</v>
      </c>
      <c r="B813" s="4" t="n">
        <v>4840</v>
      </c>
      <c r="C813" t="n">
        <v>-17.31</v>
      </c>
      <c r="D813" t="n">
        <v>6</v>
      </c>
    </row>
    <row r="814">
      <c r="A814" s="3" t="n">
        <v>46150</v>
      </c>
      <c r="B814" s="4" t="n">
        <v>4840</v>
      </c>
      <c r="C814" t="n">
        <v>0</v>
      </c>
      <c r="D814" t="n">
        <v>6</v>
      </c>
    </row>
    <row r="815">
      <c r="A815" s="3" t="n">
        <v>46153</v>
      </c>
      <c r="B815" s="4" t="n">
        <v>4840</v>
      </c>
      <c r="C815" t="n">
        <v>0</v>
      </c>
      <c r="D815" t="n">
        <v>6</v>
      </c>
    </row>
    <row r="816">
      <c r="A816" s="3" t="n">
        <v>46154</v>
      </c>
      <c r="B816" s="4" t="n">
        <v>4757</v>
      </c>
      <c r="C816" t="n">
        <v>-1.71</v>
      </c>
      <c r="D816" t="n">
        <v>6</v>
      </c>
    </row>
    <row r="817">
      <c r="A817" s="3" t="n">
        <v>46155</v>
      </c>
      <c r="B817" s="4" t="n">
        <v>4757</v>
      </c>
      <c r="C817" t="n">
        <v>0</v>
      </c>
      <c r="D817" t="n">
        <v>6</v>
      </c>
    </row>
    <row r="818">
      <c r="A818" s="3" t="n">
        <v>46156</v>
      </c>
      <c r="B818" s="4" t="n">
        <v>5753</v>
      </c>
      <c r="C818" t="n">
        <v>20.94</v>
      </c>
      <c r="D818" t="n">
        <v>6</v>
      </c>
    </row>
    <row r="819">
      <c r="A819" s="3" t="n">
        <v>46157</v>
      </c>
      <c r="B819" s="4" t="n">
        <v>5827</v>
      </c>
      <c r="C819" t="n">
        <v>1.29</v>
      </c>
      <c r="D819" t="n">
        <v>6</v>
      </c>
    </row>
    <row r="820">
      <c r="A820" s="3" t="n">
        <v>46160</v>
      </c>
      <c r="B820" s="4" t="n">
        <v>5827</v>
      </c>
      <c r="C820" t="n">
        <v>0</v>
      </c>
      <c r="D820" t="n">
        <v>6</v>
      </c>
    </row>
    <row r="821">
      <c r="A821" s="3" t="n">
        <v>46161</v>
      </c>
      <c r="B821" s="4" t="n">
        <v>5827</v>
      </c>
      <c r="C821" t="n">
        <v>0</v>
      </c>
      <c r="D821" t="n">
        <v>6</v>
      </c>
    </row>
    <row r="822">
      <c r="A822" s="3" t="n">
        <v>46162</v>
      </c>
      <c r="B822" s="4" t="n">
        <v>5827</v>
      </c>
      <c r="C822" t="n">
        <v>0</v>
      </c>
      <c r="D822" t="n">
        <v>6</v>
      </c>
    </row>
    <row r="823">
      <c r="A823" s="3" t="n">
        <v>46163</v>
      </c>
      <c r="B823" s="4" t="n">
        <v>5490</v>
      </c>
      <c r="C823" t="n">
        <v>-5.78</v>
      </c>
      <c r="D823" t="n">
        <v>6</v>
      </c>
    </row>
    <row r="824">
      <c r="A824" s="3" t="n">
        <v>46164</v>
      </c>
      <c r="B824" s="4" t="n">
        <v>5490</v>
      </c>
      <c r="C824" t="n">
        <v>0</v>
      </c>
      <c r="D824" t="n">
        <v>6</v>
      </c>
    </row>
    <row r="825">
      <c r="A825" s="3" t="n">
        <v>46168</v>
      </c>
      <c r="B825" s="4" t="n">
        <v>5490</v>
      </c>
      <c r="C825" t="n">
        <v>0</v>
      </c>
      <c r="D825" t="n">
        <v>6</v>
      </c>
    </row>
    <row r="826">
      <c r="A826" s="3" t="n">
        <v>46169</v>
      </c>
      <c r="B826" s="4" t="n">
        <v>5377</v>
      </c>
      <c r="C826" t="n">
        <v>-2.06</v>
      </c>
      <c r="D826" t="n">
        <v>6</v>
      </c>
    </row>
    <row r="827">
      <c r="A827" s="3" t="n">
        <v>46170</v>
      </c>
      <c r="B827" s="4" t="n">
        <v>5667</v>
      </c>
      <c r="C827" t="n">
        <v>5.39</v>
      </c>
      <c r="D827" t="n">
        <v>6</v>
      </c>
    </row>
    <row r="828">
      <c r="A828" s="3" t="n">
        <v>46171</v>
      </c>
      <c r="B828" s="4" t="n">
        <v>5557</v>
      </c>
      <c r="C828" t="n">
        <v>-1.94</v>
      </c>
      <c r="D828" t="n">
        <v>6</v>
      </c>
    </row>
    <row r="829">
      <c r="A829" s="3" t="n">
        <v>46174</v>
      </c>
      <c r="B829" s="4" t="n">
        <v>5557</v>
      </c>
      <c r="C829" t="n">
        <v>0</v>
      </c>
      <c r="D829" t="n">
        <v>15</v>
      </c>
    </row>
    <row r="830">
      <c r="A830" s="3" t="n">
        <v>46175</v>
      </c>
      <c r="B830" s="4" t="n">
        <v>5557</v>
      </c>
      <c r="C830" t="n">
        <v>0</v>
      </c>
      <c r="D830" t="n">
        <v>15</v>
      </c>
    </row>
    <row r="831">
      <c r="A831" s="3" t="n">
        <v>46177</v>
      </c>
      <c r="B831" s="4" t="n">
        <v>4660</v>
      </c>
      <c r="C831" t="n">
        <v>-16.14</v>
      </c>
      <c r="D831" t="n">
        <v>15</v>
      </c>
    </row>
    <row r="832">
      <c r="A832" s="3" t="n">
        <v>46178</v>
      </c>
      <c r="B832" s="4" t="n">
        <v>4495</v>
      </c>
      <c r="C832" t="n">
        <v>-3.54</v>
      </c>
      <c r="D832" t="n">
        <v>15</v>
      </c>
    </row>
    <row r="833">
      <c r="A833" s="3" t="n">
        <v>46181</v>
      </c>
      <c r="B833" s="4" t="n">
        <v>4325</v>
      </c>
      <c r="C833" t="n">
        <v>-3.78</v>
      </c>
      <c r="D833" t="n">
        <v>15</v>
      </c>
    </row>
    <row r="834">
      <c r="A834" s="3" t="n">
        <v>46182</v>
      </c>
      <c r="B834" s="4" t="n">
        <v>4325</v>
      </c>
      <c r="C834" t="n">
        <v>0</v>
      </c>
      <c r="D834" t="n">
        <v>15</v>
      </c>
    </row>
    <row r="835">
      <c r="A835" s="3" t="n">
        <v>46183</v>
      </c>
      <c r="B835" s="4" t="n">
        <v>4325</v>
      </c>
      <c r="C835" t="n">
        <v>0</v>
      </c>
      <c r="D835" t="n">
        <v>15</v>
      </c>
    </row>
    <row r="836">
      <c r="A836" s="3" t="n">
        <v>46184</v>
      </c>
      <c r="B836" s="4" t="n">
        <v>3325</v>
      </c>
      <c r="C836" t="n">
        <v>-23.12</v>
      </c>
      <c r="D836" t="n">
        <v>15</v>
      </c>
    </row>
    <row r="837">
      <c r="A837" s="3" t="n">
        <v>46185</v>
      </c>
      <c r="B837" s="4" t="n">
        <v>3325</v>
      </c>
      <c r="C837" t="n">
        <v>0</v>
      </c>
      <c r="D837" t="n">
        <v>15</v>
      </c>
    </row>
    <row r="838">
      <c r="A838" s="3" t="n">
        <v>46188</v>
      </c>
      <c r="B838" s="4" t="n">
        <v>3325</v>
      </c>
      <c r="C838" t="n">
        <v>0</v>
      </c>
      <c r="D838" t="n">
        <v>15</v>
      </c>
    </row>
    <row r="839">
      <c r="A839" s="3" t="n">
        <v>46189</v>
      </c>
      <c r="B839" s="4" t="n">
        <v>3325</v>
      </c>
      <c r="C839" t="n">
        <v>0</v>
      </c>
      <c r="D839" t="n">
        <v>15</v>
      </c>
    </row>
    <row r="840">
      <c r="A840" s="3" t="n">
        <v>46190</v>
      </c>
      <c r="B840" s="4" t="n">
        <v>3325</v>
      </c>
      <c r="C840" t="n">
        <v>0</v>
      </c>
      <c r="D840" t="n">
        <v>15</v>
      </c>
    </row>
    <row r="841">
      <c r="A841" s="3" t="n">
        <v>46191</v>
      </c>
      <c r="B841" s="4" t="n">
        <v>4213</v>
      </c>
      <c r="C841" t="n">
        <v>26.71</v>
      </c>
      <c r="D841" t="n">
        <v>15</v>
      </c>
    </row>
    <row r="842">
      <c r="A842" s="3" t="n">
        <v>46192</v>
      </c>
      <c r="B842" s="4" t="n">
        <v>4213</v>
      </c>
      <c r="C842" t="n">
        <v>0</v>
      </c>
      <c r="D842" t="n">
        <v>15</v>
      </c>
    </row>
    <row r="843">
      <c r="A843" s="3" t="n">
        <v>46195</v>
      </c>
      <c r="B843" s="4" t="n">
        <v>4243</v>
      </c>
      <c r="C843" t="n">
        <v>0.71</v>
      </c>
      <c r="D843" t="n">
        <v>15</v>
      </c>
    </row>
    <row r="844">
      <c r="A844" s="3" t="n">
        <v>46196</v>
      </c>
      <c r="B844" s="4" t="n">
        <v>4243</v>
      </c>
      <c r="C844" t="n">
        <v>0</v>
      </c>
      <c r="D844" t="n">
        <v>15</v>
      </c>
    </row>
    <row r="845">
      <c r="A845" s="3" t="n">
        <v>46197</v>
      </c>
      <c r="B845" s="4" t="n">
        <v>4243</v>
      </c>
      <c r="C845" t="n">
        <v>0</v>
      </c>
      <c r="D845" t="n">
        <v>15</v>
      </c>
    </row>
    <row r="846">
      <c r="A846" s="3" t="n">
        <v>46198</v>
      </c>
      <c r="B846" s="4" t="n">
        <v>4243</v>
      </c>
      <c r="C846" t="n">
        <v>0</v>
      </c>
      <c r="D846" t="n">
        <v>15</v>
      </c>
    </row>
    <row r="847">
      <c r="A847" s="3" t="n">
        <v>46199</v>
      </c>
      <c r="B847" s="4" t="n">
        <v>4357</v>
      </c>
      <c r="C847" t="n">
        <v>2.69</v>
      </c>
      <c r="D847" t="n">
        <v>15</v>
      </c>
    </row>
    <row r="848">
      <c r="A848" s="3" t="n">
        <v>46202</v>
      </c>
      <c r="B848" s="4" t="n">
        <v>4357</v>
      </c>
      <c r="C848" t="n">
        <v>0</v>
      </c>
      <c r="D848" t="n">
        <v>15</v>
      </c>
    </row>
    <row r="849">
      <c r="A849" s="3" t="n">
        <v>46203</v>
      </c>
      <c r="B849" s="4" t="n">
        <v>4357</v>
      </c>
      <c r="C849" t="n">
        <v>0</v>
      </c>
      <c r="D849" t="n">
        <v>15</v>
      </c>
    </row>
    <row r="850">
      <c r="A850" s="3" t="n">
        <v>46204</v>
      </c>
      <c r="B850" s="4" t="n">
        <v>4357</v>
      </c>
      <c r="C850" t="n">
        <v>0</v>
      </c>
      <c r="D850" t="n">
        <v>15</v>
      </c>
    </row>
    <row r="851">
      <c r="A851" s="3" t="n">
        <v>46205</v>
      </c>
      <c r="B851" s="4" t="n">
        <v>4325</v>
      </c>
      <c r="C851" t="n">
        <v>-0.73</v>
      </c>
      <c r="D851" t="n">
        <v>15</v>
      </c>
    </row>
    <row r="852">
      <c r="A852" s="3" t="n">
        <v>46206</v>
      </c>
      <c r="B852" s="4" t="n">
        <v>4325</v>
      </c>
      <c r="C852" t="n">
        <v>0</v>
      </c>
      <c r="D852" t="n">
        <v>15</v>
      </c>
    </row>
    <row r="853">
      <c r="A853" s="3" t="n">
        <v>46209</v>
      </c>
      <c r="B853" s="4" t="n">
        <v>4160</v>
      </c>
      <c r="C853" t="n">
        <v>-3.82</v>
      </c>
      <c r="D853" t="n">
        <v>15</v>
      </c>
    </row>
    <row r="854">
      <c r="A854" s="3" t="n">
        <v>46210</v>
      </c>
      <c r="B854" s="4" t="n">
        <v>4495</v>
      </c>
      <c r="C854" t="n">
        <v>8.050000000000001</v>
      </c>
      <c r="D854" t="n">
        <v>15</v>
      </c>
    </row>
    <row r="855">
      <c r="A855" s="3" t="n">
        <v>46211</v>
      </c>
      <c r="B855" s="4" t="n">
        <v>4660</v>
      </c>
      <c r="C855" t="n">
        <v>3.67</v>
      </c>
      <c r="D855" t="n">
        <v>15</v>
      </c>
    </row>
    <row r="856">
      <c r="A856" s="3" t="n">
        <v>46212</v>
      </c>
      <c r="B856" s="4" t="n">
        <v>5160</v>
      </c>
      <c r="C856" t="n">
        <v>10.73</v>
      </c>
      <c r="D856" t="n">
        <v>15</v>
      </c>
    </row>
    <row r="857">
      <c r="A857" s="3" t="n">
        <v>46213</v>
      </c>
      <c r="B857" s="4" t="n">
        <v>5495</v>
      </c>
      <c r="C857" t="n">
        <v>6.49</v>
      </c>
      <c r="D857" t="n">
        <v>16</v>
      </c>
    </row>
    <row r="858">
      <c r="A858" s="3" t="n">
        <v>46216</v>
      </c>
      <c r="B858" s="4" t="n">
        <v>5575</v>
      </c>
      <c r="C858" t="n">
        <v>1.46</v>
      </c>
      <c r="D858" t="n">
        <v>16</v>
      </c>
    </row>
    <row r="859">
      <c r="A859" s="3" t="n">
        <v>46217</v>
      </c>
      <c r="B859" s="4" t="n">
        <v>5745</v>
      </c>
      <c r="C859" t="n">
        <v>3.05</v>
      </c>
      <c r="D859" t="n">
        <v>16</v>
      </c>
    </row>
    <row r="860">
      <c r="A860" s="3" t="n">
        <v>46218</v>
      </c>
      <c r="B860" s="4" t="n">
        <v>5745</v>
      </c>
      <c r="C860" t="n">
        <v>0</v>
      </c>
      <c r="D860" t="n">
        <v>16</v>
      </c>
    </row>
    <row r="861">
      <c r="A861" s="3" t="n">
        <v>46219</v>
      </c>
      <c r="B861" s="4" t="n">
        <v>5745</v>
      </c>
      <c r="C861" t="n">
        <v>0</v>
      </c>
      <c r="D861" t="n">
        <v>16</v>
      </c>
    </row>
    <row r="862">
      <c r="A862" s="3" t="n">
        <v>46223</v>
      </c>
      <c r="B862" s="4" t="n">
        <v>4813</v>
      </c>
      <c r="C862" t="n">
        <v>-16.22</v>
      </c>
      <c r="D862" t="n">
        <v>16</v>
      </c>
    </row>
    <row r="863">
      <c r="A863" s="3" t="n">
        <v>46224</v>
      </c>
      <c r="B863" s="4" t="n">
        <v>4813</v>
      </c>
      <c r="C863" t="n">
        <v>0</v>
      </c>
      <c r="D863" t="n">
        <v>16</v>
      </c>
    </row>
    <row r="864">
      <c r="A864" s="3" t="n">
        <v>46225</v>
      </c>
      <c r="B864" s="4" t="n">
        <v>4803</v>
      </c>
      <c r="C864" t="n">
        <v>-0.21</v>
      </c>
      <c r="D864" t="n">
        <v>16</v>
      </c>
    </row>
    <row r="865">
      <c r="A865" s="3" t="n">
        <v>46226</v>
      </c>
      <c r="B865" s="4" t="n">
        <v>4483</v>
      </c>
      <c r="C865" t="n">
        <v>-6.66</v>
      </c>
      <c r="D865" t="n">
        <v>16</v>
      </c>
    </row>
    <row r="866">
      <c r="A866" s="3" t="n">
        <v>46227</v>
      </c>
      <c r="B866" s="4" t="n">
        <v>4483</v>
      </c>
      <c r="C866" t="n">
        <v>0</v>
      </c>
      <c r="D866" t="n">
        <v>16</v>
      </c>
    </row>
    <row r="867">
      <c r="A867" s="3" t="n">
        <v>46230</v>
      </c>
      <c r="B867" s="4" t="n">
        <v>4483</v>
      </c>
      <c r="C867" t="n">
        <v>0</v>
      </c>
      <c r="D867" t="n">
        <v>16</v>
      </c>
    </row>
    <row r="868">
      <c r="A868" s="3" t="n">
        <v>46231</v>
      </c>
      <c r="B868" s="4" t="n">
        <v>4483</v>
      </c>
      <c r="C868" t="n">
        <v>0</v>
      </c>
      <c r="D868" t="n">
        <v>16</v>
      </c>
    </row>
    <row r="869">
      <c r="A869" s="3" t="n">
        <v>46232</v>
      </c>
      <c r="B869" s="4" t="n">
        <v>4483</v>
      </c>
      <c r="C869" t="n">
        <v>0</v>
      </c>
      <c r="D869" t="n">
        <v>16</v>
      </c>
    </row>
    <row r="870">
      <c r="A870" s="3" t="n">
        <v>46233</v>
      </c>
      <c r="B870" s="4" t="n">
        <v>3227</v>
      </c>
      <c r="C870" t="n">
        <v>-28.02</v>
      </c>
      <c r="D870" t="n">
        <v>16</v>
      </c>
    </row>
    <row r="871">
      <c r="A871" s="3" t="n">
        <v>46234</v>
      </c>
      <c r="B871" s="4" t="n">
        <v>3227</v>
      </c>
      <c r="C871" t="n">
        <v>0</v>
      </c>
      <c r="D871" t="n">
        <v>16</v>
      </c>
    </row>
    <row r="872">
      <c r="A872" s="3" t="n">
        <v>46237</v>
      </c>
      <c r="B872" s="4" t="n">
        <v>4980</v>
      </c>
      <c r="C872" t="n">
        <v>54.32</v>
      </c>
      <c r="D872" t="n">
        <v>16</v>
      </c>
    </row>
    <row r="873">
      <c r="A873" s="3" t="n">
        <v>46238</v>
      </c>
      <c r="B873" s="4" t="n">
        <v>4317</v>
      </c>
      <c r="C873" t="n">
        <v>-13.31</v>
      </c>
      <c r="D873" t="n">
        <v>16</v>
      </c>
    </row>
    <row r="874">
      <c r="A874" s="3" t="n">
        <v>46239</v>
      </c>
      <c r="B874" s="4" t="n">
        <v>4317</v>
      </c>
      <c r="C874" t="n">
        <v>0</v>
      </c>
      <c r="D874" t="n">
        <v>16</v>
      </c>
    </row>
    <row r="875">
      <c r="A875" s="3" t="n">
        <v>46240</v>
      </c>
      <c r="B875" s="4" t="n">
        <v>5250</v>
      </c>
      <c r="C875" t="n">
        <v>21.61</v>
      </c>
      <c r="D875" t="n">
        <v>16</v>
      </c>
    </row>
    <row r="876">
      <c r="A876" s="3" t="n">
        <v>46241</v>
      </c>
      <c r="B876" s="4" t="n">
        <v>5250</v>
      </c>
      <c r="C876" t="n">
        <v>0</v>
      </c>
      <c r="D876" t="n">
        <v>16</v>
      </c>
    </row>
    <row r="877">
      <c r="A877" s="3" t="n">
        <v>46244</v>
      </c>
      <c r="B877" s="4" t="n">
        <v>5250</v>
      </c>
      <c r="C877" t="n">
        <v>0</v>
      </c>
      <c r="D877" t="n">
        <v>16</v>
      </c>
    </row>
    <row r="878">
      <c r="A878" s="3" t="n">
        <v>46245</v>
      </c>
      <c r="B878" s="4" t="n">
        <v>5250</v>
      </c>
      <c r="C878" t="n">
        <v>0</v>
      </c>
      <c r="D878" t="n">
        <v>16</v>
      </c>
    </row>
    <row r="879">
      <c r="A879" s="3" t="n">
        <v>46246</v>
      </c>
      <c r="B879" s="4" t="n">
        <v>5250</v>
      </c>
      <c r="C879" t="n">
        <v>0</v>
      </c>
      <c r="D879" t="n">
        <v>16</v>
      </c>
    </row>
    <row r="880">
      <c r="A880" s="3" t="n">
        <v>46247</v>
      </c>
      <c r="B880" s="4" t="n">
        <v>5250</v>
      </c>
      <c r="C880" t="n">
        <v>0</v>
      </c>
      <c r="D880" t="n">
        <v>16</v>
      </c>
    </row>
    <row r="881">
      <c r="A881" s="3" t="n">
        <v>46248</v>
      </c>
      <c r="B881" s="4" t="n">
        <v>5160</v>
      </c>
      <c r="C881" t="n">
        <v>-1.71</v>
      </c>
      <c r="D881" t="n">
        <v>16</v>
      </c>
    </row>
    <row r="882">
      <c r="A882" s="3" t="n">
        <v>46252</v>
      </c>
      <c r="B882" s="4" t="n">
        <v>5160</v>
      </c>
      <c r="C882" t="n">
        <v>0</v>
      </c>
      <c r="D882" t="n">
        <v>16</v>
      </c>
    </row>
    <row r="883">
      <c r="A883" s="3" t="n">
        <v>46253</v>
      </c>
      <c r="B883" s="4" t="n">
        <v>5160</v>
      </c>
      <c r="C883" t="n">
        <v>0</v>
      </c>
      <c r="D883" t="n">
        <v>16</v>
      </c>
    </row>
    <row r="884">
      <c r="A884" s="3" t="n">
        <v>46254</v>
      </c>
      <c r="B884" s="4" t="n">
        <v>5987</v>
      </c>
      <c r="C884" t="n">
        <v>16.03</v>
      </c>
      <c r="D884" t="n">
        <v>16</v>
      </c>
    </row>
    <row r="885">
      <c r="A885" s="3" t="n">
        <v>46255</v>
      </c>
      <c r="B885" s="4" t="n">
        <v>6070</v>
      </c>
      <c r="C885" t="n">
        <v>1.39</v>
      </c>
      <c r="D885" t="n">
        <v>16</v>
      </c>
    </row>
    <row r="886">
      <c r="A886" s="3" t="n">
        <v>46258</v>
      </c>
      <c r="B886" s="4" t="n">
        <v>5987</v>
      </c>
      <c r="C886" t="n">
        <v>-1.37</v>
      </c>
      <c r="D886" t="n">
        <v>16</v>
      </c>
    </row>
    <row r="887">
      <c r="A887" s="3" t="n">
        <v>46259</v>
      </c>
      <c r="B887" s="4" t="n">
        <v>6153</v>
      </c>
      <c r="C887" t="n">
        <v>2.77</v>
      </c>
      <c r="D887" t="n">
        <v>16</v>
      </c>
    </row>
    <row r="888">
      <c r="A888" s="3" t="n">
        <v>46260</v>
      </c>
      <c r="B888" s="4" t="n">
        <v>6153</v>
      </c>
      <c r="C888" t="n">
        <v>0</v>
      </c>
      <c r="D888" t="n">
        <v>16</v>
      </c>
    </row>
    <row r="889">
      <c r="A889" s="3" t="n">
        <v>46261</v>
      </c>
      <c r="B889" s="4" t="n">
        <v>8233</v>
      </c>
      <c r="C889" t="n">
        <v>33.8</v>
      </c>
      <c r="D889" t="n">
        <v>16</v>
      </c>
    </row>
    <row r="890">
      <c r="A890" s="3" t="n">
        <v>46262</v>
      </c>
      <c r="B890" s="4" t="n">
        <v>8233</v>
      </c>
      <c r="C890" t="n">
        <v>0</v>
      </c>
      <c r="D890" t="n">
        <v>16</v>
      </c>
    </row>
    <row r="891">
      <c r="A891" s="3" t="n">
        <v>46265</v>
      </c>
      <c r="B891" s="4" t="n">
        <v>8233</v>
      </c>
      <c r="C891" t="n">
        <v>0</v>
      </c>
      <c r="D891" t="n">
        <v>16</v>
      </c>
    </row>
    <row r="892">
      <c r="A892" s="3" t="n">
        <v>46266</v>
      </c>
      <c r="B892" s="4" t="n">
        <v>8233</v>
      </c>
      <c r="C892" t="n">
        <v>0</v>
      </c>
      <c r="D892" t="n">
        <v>16</v>
      </c>
    </row>
    <row r="893">
      <c r="A893" s="3" t="n">
        <v>46267</v>
      </c>
      <c r="B893" s="4" t="n">
        <v>8317</v>
      </c>
      <c r="C893" t="n">
        <v>1.02</v>
      </c>
      <c r="D893" t="n">
        <v>16</v>
      </c>
    </row>
    <row r="894">
      <c r="A894" s="3" t="n">
        <v>46268</v>
      </c>
      <c r="B894" s="4" t="n">
        <v>7873</v>
      </c>
      <c r="C894" t="n">
        <v>-5.34</v>
      </c>
      <c r="D894" t="n">
        <v>16</v>
      </c>
    </row>
    <row r="895">
      <c r="A895" s="3" t="n">
        <v>46269</v>
      </c>
      <c r="B895" s="4" t="n">
        <v>7873</v>
      </c>
      <c r="C895" t="n">
        <v>0</v>
      </c>
      <c r="D895" t="n">
        <v>16</v>
      </c>
    </row>
    <row r="896">
      <c r="A896" s="3" t="n">
        <v>46272</v>
      </c>
      <c r="B896" s="4" t="n">
        <v>6833</v>
      </c>
      <c r="C896" t="n">
        <v>-13.21</v>
      </c>
      <c r="D896" t="n">
        <v>16</v>
      </c>
    </row>
    <row r="897">
      <c r="A897" s="3" t="n">
        <v>46273</v>
      </c>
      <c r="B897" s="4" t="n">
        <v>6917</v>
      </c>
      <c r="C897" t="n">
        <v>1.23</v>
      </c>
      <c r="D897" t="n">
        <v>16</v>
      </c>
    </row>
    <row r="898">
      <c r="A898" s="3" t="n">
        <v>46274</v>
      </c>
      <c r="B898" s="4" t="n">
        <v>6833</v>
      </c>
      <c r="C898" t="n">
        <v>-1.21</v>
      </c>
      <c r="D898" t="n">
        <v>16</v>
      </c>
    </row>
    <row r="899">
      <c r="A899" s="3" t="n">
        <v>46275</v>
      </c>
      <c r="B899" s="4" t="n">
        <v>6267</v>
      </c>
      <c r="C899" t="n">
        <v>-8.279999999999999</v>
      </c>
      <c r="D899" t="n">
        <v>16</v>
      </c>
    </row>
    <row r="900">
      <c r="A900" s="3" t="n">
        <v>46276</v>
      </c>
      <c r="B900" s="4" t="n">
        <v>6183</v>
      </c>
      <c r="C900" t="n">
        <v>-1.34</v>
      </c>
      <c r="D900" t="n">
        <v>16</v>
      </c>
    </row>
    <row r="901">
      <c r="A901" s="3" t="n">
        <v>46279</v>
      </c>
      <c r="B901" s="4" t="n">
        <v>6303</v>
      </c>
      <c r="C901" t="n">
        <v>1.94</v>
      </c>
      <c r="D901" t="n">
        <v>16</v>
      </c>
    </row>
    <row r="902">
      <c r="A902" s="3" t="n">
        <v>46280</v>
      </c>
      <c r="B902" s="4" t="n">
        <v>6413</v>
      </c>
      <c r="C902" t="n">
        <v>1.75</v>
      </c>
      <c r="D902" t="n">
        <v>16</v>
      </c>
    </row>
    <row r="903">
      <c r="A903" s="3" t="n">
        <v>46281</v>
      </c>
      <c r="B903" s="4" t="n">
        <v>6413</v>
      </c>
      <c r="C903" t="n">
        <v>0</v>
      </c>
      <c r="D903" t="n">
        <v>16</v>
      </c>
    </row>
    <row r="904">
      <c r="A904" s="3" t="n">
        <v>46282</v>
      </c>
      <c r="B904" s="4" t="n">
        <v>6750</v>
      </c>
      <c r="C904" t="n">
        <v>5.25</v>
      </c>
      <c r="D904" t="n">
        <v>16</v>
      </c>
    </row>
    <row r="905">
      <c r="A905" s="3" t="n">
        <v>46283</v>
      </c>
      <c r="B905" s="4" t="n">
        <v>8073</v>
      </c>
      <c r="C905" t="n">
        <v>19.6</v>
      </c>
      <c r="D905" t="n">
        <v>16</v>
      </c>
    </row>
    <row r="906">
      <c r="A906" s="3" t="n">
        <v>46286</v>
      </c>
      <c r="B906" s="4" t="n">
        <v>8407</v>
      </c>
      <c r="C906" t="n">
        <v>4.14</v>
      </c>
      <c r="D906" t="n">
        <v>16</v>
      </c>
    </row>
    <row r="907">
      <c r="A907" s="3" t="n">
        <v>46287</v>
      </c>
      <c r="B907" s="4" t="n">
        <v>8740</v>
      </c>
      <c r="C907" t="n">
        <v>3.96</v>
      </c>
      <c r="D907" t="n">
        <v>16</v>
      </c>
    </row>
    <row r="908">
      <c r="A908" s="3" t="n">
        <v>46288</v>
      </c>
      <c r="B908" s="4" t="n">
        <v>8850</v>
      </c>
      <c r="C908" t="n">
        <v>1.26</v>
      </c>
      <c r="D908" t="n">
        <v>16</v>
      </c>
    </row>
    <row r="909">
      <c r="A909" s="3" t="n">
        <v>46293</v>
      </c>
      <c r="B909" s="4" t="n">
        <v>11620</v>
      </c>
      <c r="C909" t="n">
        <v>31.3</v>
      </c>
      <c r="D909" t="n">
        <v>16</v>
      </c>
    </row>
    <row r="910">
      <c r="A910" s="3" t="n">
        <v>46294</v>
      </c>
      <c r="B910" s="4" t="n">
        <v>11400</v>
      </c>
      <c r="C910" t="n">
        <v>-1.89</v>
      </c>
      <c r="D910" t="n">
        <v>16</v>
      </c>
    </row>
    <row r="911">
      <c r="A911" s="3" t="n">
        <v>46295</v>
      </c>
      <c r="B911" s="4" t="n">
        <v>11067</v>
      </c>
      <c r="C911" t="n">
        <v>-2.92</v>
      </c>
      <c r="D911" t="n">
        <v>16</v>
      </c>
    </row>
    <row r="912">
      <c r="A912" s="3" t="n">
        <v>46296</v>
      </c>
      <c r="B912" s="4" t="n">
        <v>8857</v>
      </c>
      <c r="C912" t="n">
        <v>-19.97</v>
      </c>
      <c r="D912" t="n">
        <v>16</v>
      </c>
    </row>
    <row r="913">
      <c r="A913" s="3" t="n">
        <v>46297</v>
      </c>
      <c r="B913" s="4" t="n">
        <v>8857</v>
      </c>
      <c r="C913" t="n">
        <v>0</v>
      </c>
      <c r="D913" t="n">
        <v>16</v>
      </c>
    </row>
    <row r="914">
      <c r="A914" s="3" t="n">
        <v>46301</v>
      </c>
      <c r="B914" s="4" t="n">
        <v>8743</v>
      </c>
      <c r="C914" t="n">
        <v>-1.29</v>
      </c>
      <c r="D914" t="n">
        <v>16</v>
      </c>
    </row>
    <row r="915">
      <c r="A915" s="3" t="n">
        <v>46302</v>
      </c>
      <c r="B915" s="4" t="n">
        <v>8633</v>
      </c>
      <c r="C915" t="n">
        <v>-1.26</v>
      </c>
      <c r="D915" t="n">
        <v>16</v>
      </c>
    </row>
    <row r="916">
      <c r="A916" s="3" t="n">
        <v>46303</v>
      </c>
      <c r="B916" s="4" t="n">
        <v>8473</v>
      </c>
      <c r="C916" t="n">
        <v>-1.85</v>
      </c>
      <c r="D91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4" customWidth="1" min="4" max="4"/>
  </cols>
  <sheetData>
    <row r="1">
      <c r="A1" s="1" t="inlineStr">
        <is>
          <t>KAMIS 소매가격 일별 원자료 – 채소류, 토마토, 토마토, 상품, 1kg / 전국 평균</t>
        </is>
      </c>
    </row>
    <row r="3">
      <c r="A3" s="2" t="inlineStr">
        <is>
          <t>날짜</t>
        </is>
      </c>
      <c r="B3" s="2" t="inlineStr">
        <is>
          <t>가격(원/1kg)</t>
        </is>
      </c>
      <c r="C3" s="2" t="inlineStr">
        <is>
          <t>등락률(%)</t>
        </is>
      </c>
      <c r="D3" s="2" t="inlineStr">
        <is>
          <t>원본 파일 번호</t>
        </is>
      </c>
    </row>
    <row r="4">
      <c r="A4" s="3" t="n">
        <v>45351</v>
      </c>
      <c r="B4" s="4" t="n">
        <v>9075</v>
      </c>
      <c r="C4" t="n">
        <v>0</v>
      </c>
      <c r="D4" t="n">
        <v>1</v>
      </c>
    </row>
    <row r="5">
      <c r="A5" s="3" t="n">
        <v>45355</v>
      </c>
      <c r="B5" s="4" t="n">
        <v>9219</v>
      </c>
      <c r="C5" t="n">
        <v>1.59</v>
      </c>
      <c r="D5" t="n">
        <v>1</v>
      </c>
    </row>
    <row r="6">
      <c r="A6" s="3" t="n">
        <v>45356</v>
      </c>
      <c r="B6" s="4" t="n">
        <v>9076</v>
      </c>
      <c r="C6" t="n">
        <v>-1.55</v>
      </c>
      <c r="D6" t="n">
        <v>1</v>
      </c>
    </row>
    <row r="7">
      <c r="A7" s="3" t="n">
        <v>45357</v>
      </c>
      <c r="B7" s="4" t="n">
        <v>9033</v>
      </c>
      <c r="C7" t="n">
        <v>-0.47</v>
      </c>
      <c r="D7" t="n">
        <v>1</v>
      </c>
    </row>
    <row r="8">
      <c r="A8" s="3" t="n">
        <v>45358</v>
      </c>
      <c r="B8" s="4" t="n">
        <v>8814</v>
      </c>
      <c r="C8" t="n">
        <v>-2.42</v>
      </c>
      <c r="D8" t="n">
        <v>1</v>
      </c>
    </row>
    <row r="9">
      <c r="A9" s="3" t="n">
        <v>45359</v>
      </c>
      <c r="B9" s="4" t="n">
        <v>8553</v>
      </c>
      <c r="C9" t="n">
        <v>-2.96</v>
      </c>
      <c r="D9" t="n">
        <v>1</v>
      </c>
    </row>
    <row r="10">
      <c r="A10" s="3" t="n">
        <v>45362</v>
      </c>
      <c r="B10" s="4" t="n">
        <v>8633</v>
      </c>
      <c r="C10" t="n">
        <v>0.9399999999999999</v>
      </c>
      <c r="D10" t="n">
        <v>1</v>
      </c>
    </row>
    <row r="11">
      <c r="A11" s="3" t="n">
        <v>45363</v>
      </c>
      <c r="B11" s="4" t="n">
        <v>8635</v>
      </c>
      <c r="C11" t="n">
        <v>0.02</v>
      </c>
      <c r="D11" t="n">
        <v>1</v>
      </c>
    </row>
    <row r="12">
      <c r="A12" s="3" t="n">
        <v>45364</v>
      </c>
      <c r="B12" s="4" t="n">
        <v>8650</v>
      </c>
      <c r="C12" t="n">
        <v>0.17</v>
      </c>
      <c r="D12" t="n">
        <v>1</v>
      </c>
    </row>
    <row r="13">
      <c r="A13" s="3" t="n">
        <v>45365</v>
      </c>
      <c r="B13" s="4" t="n">
        <v>8208</v>
      </c>
      <c r="C13" t="n">
        <v>-5.11</v>
      </c>
      <c r="D13" t="n">
        <v>1</v>
      </c>
    </row>
    <row r="14">
      <c r="A14" s="3" t="n">
        <v>45366</v>
      </c>
      <c r="B14" s="4" t="n">
        <v>8164</v>
      </c>
      <c r="C14" t="n">
        <v>-0.54</v>
      </c>
      <c r="D14" t="n">
        <v>1</v>
      </c>
    </row>
    <row r="15">
      <c r="A15" s="3" t="n">
        <v>45369</v>
      </c>
      <c r="B15" s="4" t="n">
        <v>7742</v>
      </c>
      <c r="C15" t="n">
        <v>-5.17</v>
      </c>
      <c r="D15" t="n">
        <v>1</v>
      </c>
    </row>
    <row r="16">
      <c r="A16" s="3" t="n">
        <v>45370</v>
      </c>
      <c r="B16" s="4" t="n">
        <v>7871</v>
      </c>
      <c r="C16" t="n">
        <v>1.67</v>
      </c>
      <c r="D16" t="n">
        <v>1</v>
      </c>
    </row>
    <row r="17">
      <c r="A17" s="3" t="n">
        <v>45371</v>
      </c>
      <c r="B17" s="4" t="n">
        <v>7653</v>
      </c>
      <c r="C17" t="n">
        <v>-2.77</v>
      </c>
      <c r="D17" t="n">
        <v>1</v>
      </c>
    </row>
    <row r="18">
      <c r="A18" s="3" t="n">
        <v>45372</v>
      </c>
      <c r="B18" s="4" t="n">
        <v>7106</v>
      </c>
      <c r="C18" t="n">
        <v>-7.15</v>
      </c>
      <c r="D18" t="n">
        <v>1</v>
      </c>
    </row>
    <row r="19">
      <c r="A19" s="3" t="n">
        <v>45373</v>
      </c>
      <c r="B19" s="4" t="n">
        <v>7107</v>
      </c>
      <c r="C19" t="n">
        <v>0.01</v>
      </c>
      <c r="D19" t="n">
        <v>1</v>
      </c>
    </row>
    <row r="20">
      <c r="A20" s="3" t="n">
        <v>45376</v>
      </c>
      <c r="B20" s="4" t="n">
        <v>7188</v>
      </c>
      <c r="C20" t="n">
        <v>1.14</v>
      </c>
      <c r="D20" t="n">
        <v>1</v>
      </c>
    </row>
    <row r="21">
      <c r="A21" s="3" t="n">
        <v>45377</v>
      </c>
      <c r="B21" s="4" t="n">
        <v>7233</v>
      </c>
      <c r="C21" t="n">
        <v>0.63</v>
      </c>
      <c r="D21" t="n">
        <v>1</v>
      </c>
    </row>
    <row r="22">
      <c r="A22" s="3" t="n">
        <v>45378</v>
      </c>
      <c r="B22" s="4" t="n">
        <v>7075</v>
      </c>
      <c r="C22" t="n">
        <v>-2.18</v>
      </c>
      <c r="D22" t="n">
        <v>1</v>
      </c>
    </row>
    <row r="23">
      <c r="A23" s="3" t="n">
        <v>45379</v>
      </c>
      <c r="B23" s="4" t="n">
        <v>7120</v>
      </c>
      <c r="C23" t="n">
        <v>0.64</v>
      </c>
      <c r="D23" t="n">
        <v>1</v>
      </c>
    </row>
    <row r="24">
      <c r="A24" s="3" t="n">
        <v>45380</v>
      </c>
      <c r="B24" s="4" t="n">
        <v>7288</v>
      </c>
      <c r="C24" t="n">
        <v>2.36</v>
      </c>
      <c r="D24" t="n">
        <v>1</v>
      </c>
    </row>
    <row r="25">
      <c r="A25" s="3" t="n">
        <v>45383</v>
      </c>
      <c r="B25" s="4" t="n">
        <v>7317</v>
      </c>
      <c r="C25" t="n">
        <v>0.4</v>
      </c>
      <c r="D25" t="n">
        <v>1</v>
      </c>
    </row>
    <row r="26">
      <c r="A26" s="3" t="n">
        <v>45384</v>
      </c>
      <c r="B26" s="4" t="n">
        <v>7352</v>
      </c>
      <c r="C26" t="n">
        <v>0.48</v>
      </c>
      <c r="D26" t="n">
        <v>1</v>
      </c>
    </row>
    <row r="27">
      <c r="A27" s="3" t="n">
        <v>45385</v>
      </c>
      <c r="B27" s="4" t="n">
        <v>7440</v>
      </c>
      <c r="C27" t="n">
        <v>1.2</v>
      </c>
      <c r="D27" t="n">
        <v>1</v>
      </c>
    </row>
    <row r="28">
      <c r="A28" s="3" t="n">
        <v>45386</v>
      </c>
      <c r="B28" s="4" t="n">
        <v>7554</v>
      </c>
      <c r="C28" t="n">
        <v>1.53</v>
      </c>
      <c r="D28" t="n">
        <v>1</v>
      </c>
    </row>
    <row r="29">
      <c r="A29" s="3" t="n">
        <v>45387</v>
      </c>
      <c r="B29" s="4" t="n">
        <v>7517</v>
      </c>
      <c r="C29" t="n">
        <v>-0.49</v>
      </c>
      <c r="D29" t="n">
        <v>1</v>
      </c>
    </row>
    <row r="30">
      <c r="A30" s="3" t="n">
        <v>45390</v>
      </c>
      <c r="B30" s="4" t="n">
        <v>7526</v>
      </c>
      <c r="C30" t="n">
        <v>0.12</v>
      </c>
      <c r="D30" t="n">
        <v>1</v>
      </c>
    </row>
    <row r="31">
      <c r="A31" s="3" t="n">
        <v>45391</v>
      </c>
      <c r="B31" s="4" t="n">
        <v>7535</v>
      </c>
      <c r="C31" t="n">
        <v>0.12</v>
      </c>
      <c r="D31" t="n">
        <v>1</v>
      </c>
    </row>
    <row r="32">
      <c r="A32" s="3" t="n">
        <v>45393</v>
      </c>
      <c r="B32" s="4" t="n">
        <v>7552</v>
      </c>
      <c r="C32" t="n">
        <v>0.23</v>
      </c>
      <c r="D32" t="n">
        <v>1</v>
      </c>
    </row>
    <row r="33">
      <c r="A33" s="3" t="n">
        <v>45394</v>
      </c>
      <c r="B33" s="4" t="n">
        <v>7480</v>
      </c>
      <c r="C33" t="n">
        <v>-0.95</v>
      </c>
      <c r="D33" t="n">
        <v>1</v>
      </c>
    </row>
    <row r="34">
      <c r="A34" s="3" t="n">
        <v>45397</v>
      </c>
      <c r="B34" s="4" t="n">
        <v>7532</v>
      </c>
      <c r="C34" t="n">
        <v>0.7</v>
      </c>
      <c r="D34" t="n">
        <v>1</v>
      </c>
    </row>
    <row r="35">
      <c r="A35" s="3" t="n">
        <v>45398</v>
      </c>
      <c r="B35" s="4" t="n">
        <v>7460</v>
      </c>
      <c r="C35" t="n">
        <v>-0.96</v>
      </c>
      <c r="D35" t="n">
        <v>1</v>
      </c>
    </row>
    <row r="36">
      <c r="A36" s="3" t="n">
        <v>45399</v>
      </c>
      <c r="B36" s="4" t="n">
        <v>7457</v>
      </c>
      <c r="C36" t="n">
        <v>-0.04</v>
      </c>
      <c r="D36" t="n">
        <v>1</v>
      </c>
    </row>
    <row r="37">
      <c r="A37" s="3" t="n">
        <v>45400</v>
      </c>
      <c r="B37" s="4" t="n">
        <v>6834</v>
      </c>
      <c r="C37" t="n">
        <v>-8.35</v>
      </c>
      <c r="D37" t="n">
        <v>1</v>
      </c>
    </row>
    <row r="38">
      <c r="A38" s="3" t="n">
        <v>45401</v>
      </c>
      <c r="B38" s="4" t="n">
        <v>6786</v>
      </c>
      <c r="C38" t="n">
        <v>-0.7</v>
      </c>
      <c r="D38" t="n">
        <v>1</v>
      </c>
    </row>
    <row r="39">
      <c r="A39" s="3" t="n">
        <v>45404</v>
      </c>
      <c r="B39" s="4" t="n">
        <v>6467</v>
      </c>
      <c r="C39" t="n">
        <v>-4.7</v>
      </c>
      <c r="D39" t="n">
        <v>1</v>
      </c>
    </row>
    <row r="40">
      <c r="A40" s="3" t="n">
        <v>45405</v>
      </c>
      <c r="B40" s="4" t="n">
        <v>6398</v>
      </c>
      <c r="C40" t="n">
        <v>-1.07</v>
      </c>
      <c r="D40" t="n">
        <v>1</v>
      </c>
    </row>
    <row r="41">
      <c r="A41" s="3" t="n">
        <v>45406</v>
      </c>
      <c r="B41" s="4" t="n">
        <v>6677</v>
      </c>
      <c r="C41" t="n">
        <v>4.36</v>
      </c>
      <c r="D41" t="n">
        <v>1</v>
      </c>
    </row>
    <row r="42">
      <c r="A42" s="3" t="n">
        <v>45407</v>
      </c>
      <c r="B42" s="4" t="n">
        <v>6727</v>
      </c>
      <c r="C42" t="n">
        <v>0.75</v>
      </c>
      <c r="D42" t="n">
        <v>1</v>
      </c>
    </row>
    <row r="43">
      <c r="A43" s="3" t="n">
        <v>45408</v>
      </c>
      <c r="B43" s="4" t="n">
        <v>6445</v>
      </c>
      <c r="C43" t="n">
        <v>-4.19</v>
      </c>
      <c r="D43" t="n">
        <v>1</v>
      </c>
    </row>
    <row r="44">
      <c r="A44" s="3" t="n">
        <v>45411</v>
      </c>
      <c r="B44" s="4" t="n">
        <v>6262</v>
      </c>
      <c r="C44" t="n">
        <v>-2.84</v>
      </c>
      <c r="D44" t="n">
        <v>1</v>
      </c>
    </row>
    <row r="45">
      <c r="A45" s="3" t="n">
        <v>45412</v>
      </c>
      <c r="B45" s="4" t="n">
        <v>6255</v>
      </c>
      <c r="C45" t="n">
        <v>-0.11</v>
      </c>
      <c r="D45" t="n">
        <v>1</v>
      </c>
    </row>
    <row r="46">
      <c r="A46" s="3" t="n">
        <v>45414</v>
      </c>
      <c r="B46" s="4" t="n">
        <v>6312</v>
      </c>
      <c r="C46" t="n">
        <v>0.91</v>
      </c>
      <c r="D46" t="n">
        <v>1</v>
      </c>
    </row>
    <row r="47">
      <c r="A47" s="3" t="n">
        <v>45415</v>
      </c>
      <c r="B47" s="4" t="n">
        <v>5880</v>
      </c>
      <c r="C47" t="n">
        <v>-6.84</v>
      </c>
      <c r="D47" t="n">
        <v>1</v>
      </c>
    </row>
    <row r="48">
      <c r="A48" s="3" t="n">
        <v>45419</v>
      </c>
      <c r="B48" s="4" t="n">
        <v>5866</v>
      </c>
      <c r="C48" t="n">
        <v>-0.24</v>
      </c>
      <c r="D48" t="n">
        <v>1</v>
      </c>
    </row>
    <row r="49">
      <c r="A49" s="3" t="n">
        <v>45420</v>
      </c>
      <c r="B49" s="4" t="n">
        <v>5916</v>
      </c>
      <c r="C49" t="n">
        <v>0.85</v>
      </c>
      <c r="D49" t="n">
        <v>1</v>
      </c>
    </row>
    <row r="50">
      <c r="A50" s="3" t="n">
        <v>45421</v>
      </c>
      <c r="B50" s="4" t="n">
        <v>5600</v>
      </c>
      <c r="C50" t="n">
        <v>-5.34</v>
      </c>
      <c r="D50" t="n">
        <v>1</v>
      </c>
    </row>
    <row r="51">
      <c r="A51" s="3" t="n">
        <v>45422</v>
      </c>
      <c r="B51" s="4" t="n">
        <v>5646</v>
      </c>
      <c r="C51" t="n">
        <v>0.82</v>
      </c>
      <c r="D51" t="n">
        <v>1</v>
      </c>
    </row>
    <row r="52">
      <c r="A52" s="3" t="n">
        <v>45425</v>
      </c>
      <c r="B52" s="4" t="n">
        <v>5427</v>
      </c>
      <c r="C52" t="n">
        <v>-3.88</v>
      </c>
      <c r="D52" t="n">
        <v>1</v>
      </c>
    </row>
    <row r="53">
      <c r="A53" s="3" t="n">
        <v>45426</v>
      </c>
      <c r="B53" s="4" t="n">
        <v>5391</v>
      </c>
      <c r="C53" t="n">
        <v>-0.66</v>
      </c>
      <c r="D53" t="n">
        <v>1</v>
      </c>
    </row>
    <row r="54">
      <c r="A54" s="3" t="n">
        <v>45428</v>
      </c>
      <c r="B54" s="4" t="n">
        <v>5488</v>
      </c>
      <c r="C54" t="n">
        <v>1.8</v>
      </c>
      <c r="D54" t="n">
        <v>1</v>
      </c>
    </row>
    <row r="55">
      <c r="A55" s="3" t="n">
        <v>45429</v>
      </c>
      <c r="B55" s="4" t="n">
        <v>5433</v>
      </c>
      <c r="C55" t="n">
        <v>-1</v>
      </c>
      <c r="D55" t="n">
        <v>1</v>
      </c>
    </row>
    <row r="56">
      <c r="A56" s="3" t="n">
        <v>45432</v>
      </c>
      <c r="B56" s="4" t="n">
        <v>5455</v>
      </c>
      <c r="C56" t="n">
        <v>0.4</v>
      </c>
      <c r="D56" t="n">
        <v>1</v>
      </c>
    </row>
    <row r="57">
      <c r="A57" s="3" t="n">
        <v>45433</v>
      </c>
      <c r="B57" s="4" t="n">
        <v>5596</v>
      </c>
      <c r="C57" t="n">
        <v>2.58</v>
      </c>
      <c r="D57" t="n">
        <v>1</v>
      </c>
    </row>
    <row r="58">
      <c r="A58" s="3" t="n">
        <v>45434</v>
      </c>
      <c r="B58" s="4" t="n">
        <v>5630</v>
      </c>
      <c r="C58" t="n">
        <v>0.61</v>
      </c>
      <c r="D58" t="n">
        <v>1</v>
      </c>
    </row>
    <row r="59">
      <c r="A59" s="3" t="n">
        <v>45435</v>
      </c>
      <c r="B59" s="4" t="n">
        <v>6018</v>
      </c>
      <c r="C59" t="n">
        <v>6.89</v>
      </c>
      <c r="D59" t="n">
        <v>1</v>
      </c>
    </row>
    <row r="60">
      <c r="A60" s="3" t="n">
        <v>45436</v>
      </c>
      <c r="B60" s="4" t="n">
        <v>5910</v>
      </c>
      <c r="C60" t="n">
        <v>-1.79</v>
      </c>
      <c r="D60" t="n">
        <v>1</v>
      </c>
    </row>
    <row r="61">
      <c r="A61" s="3" t="n">
        <v>45439</v>
      </c>
      <c r="B61" s="4" t="n">
        <v>5900</v>
      </c>
      <c r="C61" t="n">
        <v>-0.17</v>
      </c>
      <c r="D61" t="n">
        <v>1</v>
      </c>
    </row>
    <row r="62">
      <c r="A62" s="3" t="n">
        <v>45440</v>
      </c>
      <c r="B62" s="4" t="n">
        <v>5858</v>
      </c>
      <c r="C62" t="n">
        <v>-0.71</v>
      </c>
      <c r="D62" t="n">
        <v>1</v>
      </c>
    </row>
    <row r="63">
      <c r="A63" s="3" t="n">
        <v>45441</v>
      </c>
      <c r="B63" s="4" t="n">
        <v>5777</v>
      </c>
      <c r="C63" t="n">
        <v>-1.38</v>
      </c>
      <c r="D63" t="n">
        <v>1</v>
      </c>
    </row>
    <row r="64">
      <c r="A64" s="3" t="n">
        <v>45442</v>
      </c>
      <c r="B64" s="4" t="n">
        <v>5401</v>
      </c>
      <c r="C64" t="n">
        <v>-6.51</v>
      </c>
      <c r="D64" t="n">
        <v>1</v>
      </c>
    </row>
    <row r="65">
      <c r="A65" s="3" t="n">
        <v>45443</v>
      </c>
      <c r="B65" s="4" t="n">
        <v>5048</v>
      </c>
      <c r="C65" t="n">
        <v>-6.54</v>
      </c>
      <c r="D65" t="n">
        <v>1</v>
      </c>
    </row>
    <row r="66">
      <c r="A66" s="3" t="n">
        <v>45446</v>
      </c>
      <c r="B66" s="4" t="n">
        <v>4898</v>
      </c>
      <c r="C66" t="n">
        <v>-2.97</v>
      </c>
      <c r="D66" t="n">
        <v>1</v>
      </c>
    </row>
    <row r="67">
      <c r="A67" s="3" t="n">
        <v>45447</v>
      </c>
      <c r="B67" s="4" t="n">
        <v>4814</v>
      </c>
      <c r="C67" t="n">
        <v>-1.71</v>
      </c>
      <c r="D67" t="n">
        <v>1</v>
      </c>
    </row>
    <row r="68">
      <c r="A68" s="3" t="n">
        <v>45448</v>
      </c>
      <c r="B68" s="4" t="n">
        <v>4829</v>
      </c>
      <c r="C68" t="n">
        <v>0.31</v>
      </c>
      <c r="D68" t="n">
        <v>1</v>
      </c>
    </row>
    <row r="69">
      <c r="A69" s="3" t="n">
        <v>45450</v>
      </c>
      <c r="B69" s="4" t="n">
        <v>4541</v>
      </c>
      <c r="C69" t="n">
        <v>-5.96</v>
      </c>
      <c r="D69" t="n">
        <v>1</v>
      </c>
    </row>
    <row r="70">
      <c r="A70" s="3" t="n">
        <v>45453</v>
      </c>
      <c r="B70" s="4" t="n">
        <v>4559</v>
      </c>
      <c r="C70" t="n">
        <v>0.4</v>
      </c>
      <c r="D70" t="n">
        <v>1</v>
      </c>
    </row>
    <row r="71">
      <c r="A71" s="3" t="n">
        <v>45454</v>
      </c>
      <c r="B71" s="4" t="n">
        <v>4510</v>
      </c>
      <c r="C71" t="n">
        <v>-1.07</v>
      </c>
      <c r="D71" t="n">
        <v>1</v>
      </c>
    </row>
    <row r="72">
      <c r="A72" s="3" t="n">
        <v>45455</v>
      </c>
      <c r="B72" s="4" t="n">
        <v>4510</v>
      </c>
      <c r="C72" t="n">
        <v>0</v>
      </c>
      <c r="D72" t="n">
        <v>1</v>
      </c>
    </row>
    <row r="73">
      <c r="A73" s="3" t="n">
        <v>45456</v>
      </c>
      <c r="B73" s="4" t="n">
        <v>4488</v>
      </c>
      <c r="C73" t="n">
        <v>-0.49</v>
      </c>
      <c r="D73" t="n">
        <v>1</v>
      </c>
    </row>
    <row r="74">
      <c r="A74" s="3" t="n">
        <v>45457</v>
      </c>
      <c r="B74" s="4" t="n">
        <v>4425</v>
      </c>
      <c r="C74" t="n">
        <v>-1.4</v>
      </c>
      <c r="D74" t="n">
        <v>1</v>
      </c>
    </row>
    <row r="75">
      <c r="A75" s="3" t="n">
        <v>45460</v>
      </c>
      <c r="B75" s="4" t="n">
        <v>4407</v>
      </c>
      <c r="C75" t="n">
        <v>-0.41</v>
      </c>
      <c r="D75" t="n">
        <v>1</v>
      </c>
    </row>
    <row r="76">
      <c r="A76" s="3" t="n">
        <v>45461</v>
      </c>
      <c r="B76" s="4" t="n">
        <v>4454</v>
      </c>
      <c r="C76" t="n">
        <v>1.07</v>
      </c>
      <c r="D76" t="n">
        <v>1</v>
      </c>
    </row>
    <row r="77">
      <c r="A77" s="3" t="n">
        <v>45462</v>
      </c>
      <c r="B77" s="4" t="n">
        <v>4404</v>
      </c>
      <c r="C77" t="n">
        <v>-1.12</v>
      </c>
      <c r="D77" t="n">
        <v>1</v>
      </c>
    </row>
    <row r="78">
      <c r="A78" s="3" t="n">
        <v>45463</v>
      </c>
      <c r="B78" s="4" t="n">
        <v>4394</v>
      </c>
      <c r="C78" t="n">
        <v>-0.23</v>
      </c>
      <c r="D78" t="n">
        <v>1</v>
      </c>
    </row>
    <row r="79">
      <c r="A79" s="3" t="n">
        <v>45464</v>
      </c>
      <c r="B79" s="4" t="n">
        <v>4272</v>
      </c>
      <c r="C79" t="n">
        <v>-2.78</v>
      </c>
      <c r="D79" t="n">
        <v>1</v>
      </c>
    </row>
    <row r="80">
      <c r="A80" s="3" t="n">
        <v>45467</v>
      </c>
      <c r="B80" s="4" t="n">
        <v>4252</v>
      </c>
      <c r="C80" t="n">
        <v>-0.47</v>
      </c>
      <c r="D80" t="n">
        <v>1</v>
      </c>
    </row>
    <row r="81">
      <c r="A81" s="3" t="n">
        <v>45468</v>
      </c>
      <c r="B81" s="4" t="n">
        <v>4208</v>
      </c>
      <c r="C81" t="n">
        <v>-1.03</v>
      </c>
      <c r="D81" t="n">
        <v>1</v>
      </c>
    </row>
    <row r="82">
      <c r="A82" s="3" t="n">
        <v>45469</v>
      </c>
      <c r="B82" s="4" t="n">
        <v>4156</v>
      </c>
      <c r="C82" t="n">
        <v>-1.24</v>
      </c>
      <c r="D82" t="n">
        <v>1</v>
      </c>
    </row>
    <row r="83">
      <c r="A83" s="3" t="n">
        <v>45470</v>
      </c>
      <c r="B83" s="4" t="n">
        <v>4033</v>
      </c>
      <c r="C83" t="n">
        <v>-2.96</v>
      </c>
      <c r="D83" t="n">
        <v>1</v>
      </c>
    </row>
    <row r="84">
      <c r="A84" s="3" t="n">
        <v>45471</v>
      </c>
      <c r="B84" s="4" t="n">
        <v>3911</v>
      </c>
      <c r="C84" t="n">
        <v>-3.03</v>
      </c>
      <c r="D84" t="n">
        <v>1</v>
      </c>
    </row>
    <row r="85">
      <c r="A85" s="3" t="n">
        <v>45474</v>
      </c>
      <c r="B85" s="4" t="n">
        <v>3902</v>
      </c>
      <c r="C85" t="n">
        <v>-0.23</v>
      </c>
      <c r="D85" t="n">
        <v>1</v>
      </c>
    </row>
    <row r="86">
      <c r="A86" s="3" t="n">
        <v>45475</v>
      </c>
      <c r="B86" s="4" t="n">
        <v>3848</v>
      </c>
      <c r="C86" t="n">
        <v>-1.38</v>
      </c>
      <c r="D86" t="n">
        <v>1</v>
      </c>
    </row>
    <row r="87">
      <c r="A87" s="3" t="n">
        <v>45476</v>
      </c>
      <c r="B87" s="4" t="n">
        <v>3846</v>
      </c>
      <c r="C87" t="n">
        <v>-0.05</v>
      </c>
      <c r="D87" t="n">
        <v>1</v>
      </c>
    </row>
    <row r="88">
      <c r="A88" s="3" t="n">
        <v>45477</v>
      </c>
      <c r="B88" s="4" t="n">
        <v>3913</v>
      </c>
      <c r="C88" t="n">
        <v>1.74</v>
      </c>
      <c r="D88" t="n">
        <v>1</v>
      </c>
    </row>
    <row r="89">
      <c r="A89" s="3" t="n">
        <v>45478</v>
      </c>
      <c r="B89" s="4" t="n">
        <v>4000</v>
      </c>
      <c r="C89" t="n">
        <v>2.22</v>
      </c>
      <c r="D89" t="n">
        <v>1</v>
      </c>
    </row>
    <row r="90">
      <c r="A90" s="3" t="n">
        <v>45481</v>
      </c>
      <c r="B90" s="4" t="n">
        <v>4069</v>
      </c>
      <c r="C90" t="n">
        <v>1.72</v>
      </c>
      <c r="D90" t="n">
        <v>1</v>
      </c>
    </row>
    <row r="91">
      <c r="A91" s="3" t="n">
        <v>45482</v>
      </c>
      <c r="B91" s="4" t="n">
        <v>4119</v>
      </c>
      <c r="C91" t="n">
        <v>1.23</v>
      </c>
      <c r="D91" t="n">
        <v>1</v>
      </c>
    </row>
    <row r="92">
      <c r="A92" s="3" t="n">
        <v>45483</v>
      </c>
      <c r="B92" s="4" t="n">
        <v>4207</v>
      </c>
      <c r="C92" t="n">
        <v>2.14</v>
      </c>
      <c r="D92" t="n">
        <v>1</v>
      </c>
    </row>
    <row r="93">
      <c r="A93" s="3" t="n">
        <v>45484</v>
      </c>
      <c r="B93" s="4" t="n">
        <v>4461</v>
      </c>
      <c r="C93" t="n">
        <v>6.04</v>
      </c>
      <c r="D93" t="n">
        <v>1</v>
      </c>
    </row>
    <row r="94">
      <c r="A94" s="3" t="n">
        <v>45485</v>
      </c>
      <c r="B94" s="4" t="n">
        <v>4684</v>
      </c>
      <c r="C94" t="n">
        <v>5</v>
      </c>
      <c r="D94" t="n">
        <v>1</v>
      </c>
    </row>
    <row r="95">
      <c r="A95" s="3" t="n">
        <v>45488</v>
      </c>
      <c r="B95" s="4" t="n">
        <v>4659</v>
      </c>
      <c r="C95" t="n">
        <v>-0.53</v>
      </c>
      <c r="D95" t="n">
        <v>1</v>
      </c>
    </row>
    <row r="96">
      <c r="A96" s="3" t="n">
        <v>45489</v>
      </c>
      <c r="B96" s="4" t="n">
        <v>4687</v>
      </c>
      <c r="C96" t="n">
        <v>0.6</v>
      </c>
      <c r="D96" t="n">
        <v>1</v>
      </c>
    </row>
    <row r="97">
      <c r="A97" s="3" t="n">
        <v>45490</v>
      </c>
      <c r="B97" s="4" t="n">
        <v>4630</v>
      </c>
      <c r="C97" t="n">
        <v>-1.22</v>
      </c>
      <c r="D97" t="n">
        <v>1</v>
      </c>
    </row>
    <row r="98">
      <c r="A98" s="3" t="n">
        <v>45491</v>
      </c>
      <c r="B98" s="4" t="n">
        <v>4757</v>
      </c>
      <c r="C98" t="n">
        <v>2.74</v>
      </c>
      <c r="D98" t="n">
        <v>1</v>
      </c>
    </row>
    <row r="99">
      <c r="A99" s="3" t="n">
        <v>45492</v>
      </c>
      <c r="B99" s="4" t="n">
        <v>4799</v>
      </c>
      <c r="C99" t="n">
        <v>0.88</v>
      </c>
      <c r="D99" t="n">
        <v>1</v>
      </c>
    </row>
    <row r="100">
      <c r="A100" s="3" t="n">
        <v>45495</v>
      </c>
      <c r="B100" s="4" t="n">
        <v>4859</v>
      </c>
      <c r="C100" t="n">
        <v>1.25</v>
      </c>
      <c r="D100" t="n">
        <v>1</v>
      </c>
    </row>
    <row r="101">
      <c r="A101" s="3" t="n">
        <v>45496</v>
      </c>
      <c r="B101" s="4" t="n">
        <v>4866</v>
      </c>
      <c r="C101" t="n">
        <v>0.14</v>
      </c>
      <c r="D101" t="n">
        <v>1</v>
      </c>
    </row>
    <row r="102">
      <c r="A102" s="3" t="n">
        <v>45497</v>
      </c>
      <c r="B102" s="4" t="n">
        <v>4831</v>
      </c>
      <c r="C102" t="n">
        <v>-0.72</v>
      </c>
      <c r="D102" t="n">
        <v>1</v>
      </c>
    </row>
    <row r="103">
      <c r="A103" s="3" t="n">
        <v>45498</v>
      </c>
      <c r="B103" s="4" t="n">
        <v>4511</v>
      </c>
      <c r="C103" t="n">
        <v>-6.62</v>
      </c>
      <c r="D103" t="n">
        <v>1</v>
      </c>
    </row>
    <row r="104">
      <c r="A104" s="3" t="n">
        <v>45499</v>
      </c>
      <c r="B104" s="4" t="n">
        <v>4486</v>
      </c>
      <c r="C104" t="n">
        <v>-0.55</v>
      </c>
      <c r="D104" t="n">
        <v>1</v>
      </c>
    </row>
    <row r="105">
      <c r="A105" s="3" t="n">
        <v>45502</v>
      </c>
      <c r="B105" s="4" t="n">
        <v>4469</v>
      </c>
      <c r="C105" t="n">
        <v>-0.38</v>
      </c>
      <c r="D105" t="n">
        <v>1</v>
      </c>
    </row>
    <row r="106">
      <c r="A106" s="3" t="n">
        <v>45503</v>
      </c>
      <c r="B106" s="4" t="n">
        <v>4509</v>
      </c>
      <c r="C106" t="n">
        <v>0.9</v>
      </c>
      <c r="D106" t="n">
        <v>1</v>
      </c>
    </row>
    <row r="107">
      <c r="A107" s="3" t="n">
        <v>45504</v>
      </c>
      <c r="B107" s="4" t="n">
        <v>4514</v>
      </c>
      <c r="C107" t="n">
        <v>0.11</v>
      </c>
      <c r="D107" t="n">
        <v>1</v>
      </c>
    </row>
    <row r="108">
      <c r="A108" s="3" t="n">
        <v>45505</v>
      </c>
      <c r="B108" s="4" t="n">
        <v>4703</v>
      </c>
      <c r="C108" t="n">
        <v>4.19</v>
      </c>
      <c r="D108" t="n">
        <v>1</v>
      </c>
    </row>
    <row r="109">
      <c r="A109" s="3" t="n">
        <v>45506</v>
      </c>
      <c r="B109" s="4" t="n">
        <v>4671</v>
      </c>
      <c r="C109" t="n">
        <v>-0.68</v>
      </c>
      <c r="D109" t="n">
        <v>1</v>
      </c>
    </row>
    <row r="110">
      <c r="A110" s="3" t="n">
        <v>45509</v>
      </c>
      <c r="B110" s="4" t="n">
        <v>4680</v>
      </c>
      <c r="C110" t="n">
        <v>0.19</v>
      </c>
      <c r="D110" t="n">
        <v>1</v>
      </c>
    </row>
    <row r="111">
      <c r="A111" s="3" t="n">
        <v>45510</v>
      </c>
      <c r="B111" s="4" t="n">
        <v>4705</v>
      </c>
      <c r="C111" t="n">
        <v>0.53</v>
      </c>
      <c r="D111" t="n">
        <v>1</v>
      </c>
    </row>
    <row r="112">
      <c r="A112" s="3" t="n">
        <v>45511</v>
      </c>
      <c r="B112" s="4" t="n">
        <v>4715</v>
      </c>
      <c r="C112" t="n">
        <v>0.21</v>
      </c>
      <c r="D112" t="n">
        <v>1</v>
      </c>
    </row>
    <row r="113">
      <c r="A113" s="3" t="n">
        <v>45512</v>
      </c>
      <c r="B113" s="4" t="n">
        <v>4747</v>
      </c>
      <c r="C113" t="n">
        <v>0.68</v>
      </c>
      <c r="D113" t="n">
        <v>1</v>
      </c>
    </row>
    <row r="114">
      <c r="A114" s="3" t="n">
        <v>45513</v>
      </c>
      <c r="B114" s="4" t="n">
        <v>4750</v>
      </c>
      <c r="C114" t="n">
        <v>0.06</v>
      </c>
      <c r="D114" t="n">
        <v>1</v>
      </c>
    </row>
    <row r="115">
      <c r="A115" s="3" t="n">
        <v>45516</v>
      </c>
      <c r="B115" s="4" t="n">
        <v>4826</v>
      </c>
      <c r="C115" t="n">
        <v>1.6</v>
      </c>
      <c r="D115" t="n">
        <v>1</v>
      </c>
    </row>
    <row r="116">
      <c r="A116" s="3" t="n">
        <v>45517</v>
      </c>
      <c r="B116" s="4" t="n">
        <v>4893</v>
      </c>
      <c r="C116" t="n">
        <v>1.39</v>
      </c>
      <c r="D116" t="n">
        <v>1</v>
      </c>
    </row>
    <row r="117">
      <c r="A117" s="3" t="n">
        <v>45518</v>
      </c>
      <c r="B117" s="4" t="n">
        <v>4911</v>
      </c>
      <c r="C117" t="n">
        <v>0.37</v>
      </c>
      <c r="D117" t="n">
        <v>1</v>
      </c>
    </row>
    <row r="118">
      <c r="A118" s="3" t="n">
        <v>45520</v>
      </c>
      <c r="B118" s="4" t="n">
        <v>5013</v>
      </c>
      <c r="C118" t="n">
        <v>2.08</v>
      </c>
      <c r="D118" t="n">
        <v>1</v>
      </c>
    </row>
    <row r="119">
      <c r="A119" s="3" t="n">
        <v>45523</v>
      </c>
      <c r="B119" s="4" t="n">
        <v>5194</v>
      </c>
      <c r="C119" t="n">
        <v>3.61</v>
      </c>
      <c r="D119" t="n">
        <v>1</v>
      </c>
    </row>
    <row r="120">
      <c r="A120" s="3" t="n">
        <v>45524</v>
      </c>
      <c r="B120" s="4" t="n">
        <v>5247</v>
      </c>
      <c r="C120" t="n">
        <v>1.02</v>
      </c>
      <c r="D120" t="n">
        <v>1</v>
      </c>
    </row>
    <row r="121">
      <c r="A121" s="3" t="n">
        <v>45525</v>
      </c>
      <c r="B121" s="4" t="n">
        <v>5215</v>
      </c>
      <c r="C121" t="n">
        <v>-0.61</v>
      </c>
      <c r="D121" t="n">
        <v>1</v>
      </c>
    </row>
    <row r="122">
      <c r="A122" s="3" t="n">
        <v>45526</v>
      </c>
      <c r="B122" s="4" t="n">
        <v>5629</v>
      </c>
      <c r="C122" t="n">
        <v>7.94</v>
      </c>
      <c r="D122" t="n">
        <v>1</v>
      </c>
    </row>
    <row r="123">
      <c r="A123" s="3" t="n">
        <v>45527</v>
      </c>
      <c r="B123" s="4" t="n">
        <v>6522</v>
      </c>
      <c r="C123" t="n">
        <v>15.86</v>
      </c>
      <c r="D123" t="n">
        <v>1</v>
      </c>
    </row>
    <row r="124">
      <c r="A124" s="3" t="n">
        <v>45530</v>
      </c>
      <c r="B124" s="4" t="n">
        <v>6537</v>
      </c>
      <c r="C124" t="n">
        <v>0.23</v>
      </c>
      <c r="D124" t="n">
        <v>2</v>
      </c>
    </row>
    <row r="125">
      <c r="A125" s="3" t="n">
        <v>45531</v>
      </c>
      <c r="B125" s="4" t="n">
        <v>6533</v>
      </c>
      <c r="C125" t="n">
        <v>-0.06</v>
      </c>
      <c r="D125" t="n">
        <v>2</v>
      </c>
    </row>
    <row r="126">
      <c r="A126" s="3" t="n">
        <v>45532</v>
      </c>
      <c r="B126" s="4" t="n">
        <v>6628</v>
      </c>
      <c r="C126" t="n">
        <v>1.45</v>
      </c>
      <c r="D126" t="n">
        <v>2</v>
      </c>
    </row>
    <row r="127">
      <c r="A127" s="3" t="n">
        <v>45533</v>
      </c>
      <c r="B127" s="4" t="n">
        <v>6726</v>
      </c>
      <c r="C127" t="n">
        <v>1.48</v>
      </c>
      <c r="D127" t="n">
        <v>2</v>
      </c>
    </row>
    <row r="128">
      <c r="A128" s="3" t="n">
        <v>45534</v>
      </c>
      <c r="B128" s="4" t="n">
        <v>6578</v>
      </c>
      <c r="C128" t="n">
        <v>-2.2</v>
      </c>
      <c r="D128" t="n">
        <v>2</v>
      </c>
    </row>
    <row r="129">
      <c r="A129" s="3" t="n">
        <v>45537</v>
      </c>
      <c r="B129" s="4" t="n">
        <v>6956</v>
      </c>
      <c r="C129" t="n">
        <v>5.75</v>
      </c>
      <c r="D129" t="n">
        <v>2</v>
      </c>
    </row>
    <row r="130">
      <c r="A130" s="3" t="n">
        <v>45538</v>
      </c>
      <c r="B130" s="4" t="n">
        <v>6963</v>
      </c>
      <c r="C130" t="n">
        <v>0.1</v>
      </c>
      <c r="D130" t="n">
        <v>2</v>
      </c>
    </row>
    <row r="131">
      <c r="A131" s="3" t="n">
        <v>45539</v>
      </c>
      <c r="B131" s="4" t="n">
        <v>6971</v>
      </c>
      <c r="C131" t="n">
        <v>0.11</v>
      </c>
      <c r="D131" t="n">
        <v>2</v>
      </c>
    </row>
    <row r="132">
      <c r="A132" s="3" t="n">
        <v>45540</v>
      </c>
      <c r="B132" s="4" t="n">
        <v>6918</v>
      </c>
      <c r="C132" t="n">
        <v>-0.76</v>
      </c>
      <c r="D132" t="n">
        <v>2</v>
      </c>
    </row>
    <row r="133">
      <c r="A133" s="3" t="n">
        <v>45541</v>
      </c>
      <c r="B133" s="4" t="n">
        <v>7200</v>
      </c>
      <c r="C133" t="n">
        <v>4.08</v>
      </c>
      <c r="D133" t="n">
        <v>2</v>
      </c>
    </row>
    <row r="134">
      <c r="A134" s="3" t="n">
        <v>45544</v>
      </c>
      <c r="B134" s="4" t="n">
        <v>7513</v>
      </c>
      <c r="C134" t="n">
        <v>4.35</v>
      </c>
      <c r="D134" t="n">
        <v>2</v>
      </c>
    </row>
    <row r="135">
      <c r="A135" s="3" t="n">
        <v>45545</v>
      </c>
      <c r="B135" s="4" t="n">
        <v>7665</v>
      </c>
      <c r="C135" t="n">
        <v>2.02</v>
      </c>
      <c r="D135" t="n">
        <v>2</v>
      </c>
    </row>
    <row r="136">
      <c r="A136" s="3" t="n">
        <v>45546</v>
      </c>
      <c r="B136" s="4" t="n">
        <v>7815</v>
      </c>
      <c r="C136" t="n">
        <v>1.96</v>
      </c>
      <c r="D136" t="n">
        <v>2</v>
      </c>
    </row>
    <row r="137">
      <c r="A137" s="3" t="n">
        <v>45547</v>
      </c>
      <c r="B137" s="4" t="n">
        <v>8464</v>
      </c>
      <c r="C137" t="n">
        <v>8.300000000000001</v>
      </c>
      <c r="D137" t="n">
        <v>2</v>
      </c>
    </row>
    <row r="138">
      <c r="A138" s="3" t="n">
        <v>45548</v>
      </c>
      <c r="B138" s="4" t="n">
        <v>8819</v>
      </c>
      <c r="C138" t="n">
        <v>4.19</v>
      </c>
      <c r="D138" t="n">
        <v>2</v>
      </c>
    </row>
    <row r="139">
      <c r="A139" s="3" t="n">
        <v>45554</v>
      </c>
      <c r="B139" s="4" t="n">
        <v>9029</v>
      </c>
      <c r="C139" t="n">
        <v>2.38</v>
      </c>
      <c r="D139" t="n">
        <v>2</v>
      </c>
    </row>
    <row r="140">
      <c r="A140" s="3" t="n">
        <v>45555</v>
      </c>
      <c r="B140" s="4" t="n">
        <v>9014</v>
      </c>
      <c r="C140" t="n">
        <v>-0.17</v>
      </c>
      <c r="D140" t="n">
        <v>2</v>
      </c>
    </row>
    <row r="141">
      <c r="A141" s="3" t="n">
        <v>45558</v>
      </c>
      <c r="B141" s="4" t="n">
        <v>9032</v>
      </c>
      <c r="C141" t="n">
        <v>0.2</v>
      </c>
      <c r="D141" t="n">
        <v>2</v>
      </c>
    </row>
    <row r="142">
      <c r="A142" s="3" t="n">
        <v>45559</v>
      </c>
      <c r="B142" s="4" t="n">
        <v>8987</v>
      </c>
      <c r="C142" t="n">
        <v>-0.5</v>
      </c>
      <c r="D142" t="n">
        <v>2</v>
      </c>
    </row>
    <row r="143">
      <c r="A143" s="3" t="n">
        <v>45560</v>
      </c>
      <c r="B143" s="4" t="n">
        <v>8894</v>
      </c>
      <c r="C143" t="n">
        <v>-1.03</v>
      </c>
      <c r="D143" t="n">
        <v>2</v>
      </c>
    </row>
    <row r="144">
      <c r="A144" s="3" t="n">
        <v>45561</v>
      </c>
      <c r="B144" s="4" t="n">
        <v>8445</v>
      </c>
      <c r="C144" t="n">
        <v>-5.05</v>
      </c>
      <c r="D144" t="n">
        <v>2</v>
      </c>
    </row>
    <row r="145">
      <c r="A145" s="3" t="n">
        <v>45562</v>
      </c>
      <c r="B145" s="4" t="n">
        <v>8737</v>
      </c>
      <c r="C145" t="n">
        <v>3.46</v>
      </c>
      <c r="D145" t="n">
        <v>2</v>
      </c>
    </row>
    <row r="146">
      <c r="A146" s="3" t="n">
        <v>45565</v>
      </c>
      <c r="B146" s="4" t="n">
        <v>9096</v>
      </c>
      <c r="C146" t="n">
        <v>4.11</v>
      </c>
      <c r="D146" t="n">
        <v>2</v>
      </c>
    </row>
    <row r="147">
      <c r="A147" s="3" t="n">
        <v>45567</v>
      </c>
      <c r="B147" s="4" t="n">
        <v>9708</v>
      </c>
      <c r="C147" t="n">
        <v>6.73</v>
      </c>
      <c r="D147" t="n">
        <v>2</v>
      </c>
    </row>
    <row r="148">
      <c r="A148" s="3" t="n">
        <v>45569</v>
      </c>
      <c r="B148" s="4" t="n">
        <v>9393</v>
      </c>
      <c r="C148" t="n">
        <v>-3.24</v>
      </c>
      <c r="D148" t="n">
        <v>2</v>
      </c>
    </row>
    <row r="149">
      <c r="A149" s="3" t="n">
        <v>45572</v>
      </c>
      <c r="B149" s="4" t="n">
        <v>9722</v>
      </c>
      <c r="C149" t="n">
        <v>3.5</v>
      </c>
      <c r="D149" t="n">
        <v>2</v>
      </c>
    </row>
    <row r="150">
      <c r="A150" s="3" t="n">
        <v>45573</v>
      </c>
      <c r="B150" s="4" t="n">
        <v>10101</v>
      </c>
      <c r="C150" t="n">
        <v>3.9</v>
      </c>
      <c r="D150" t="n">
        <v>2</v>
      </c>
    </row>
    <row r="151">
      <c r="A151" s="3" t="n">
        <v>45575</v>
      </c>
      <c r="B151" s="4" t="n">
        <v>11572</v>
      </c>
      <c r="C151" t="n">
        <v>14.56</v>
      </c>
      <c r="D151" t="n">
        <v>2</v>
      </c>
    </row>
    <row r="152">
      <c r="A152" s="3" t="n">
        <v>45576</v>
      </c>
      <c r="B152" s="4" t="n">
        <v>12277</v>
      </c>
      <c r="C152" t="n">
        <v>6.09</v>
      </c>
      <c r="D152" t="n">
        <v>2</v>
      </c>
    </row>
    <row r="153">
      <c r="A153" s="3" t="n">
        <v>45579</v>
      </c>
      <c r="B153" s="4" t="n">
        <v>12646</v>
      </c>
      <c r="C153" t="n">
        <v>3.01</v>
      </c>
      <c r="D153" t="n">
        <v>2</v>
      </c>
    </row>
    <row r="154">
      <c r="A154" s="3" t="n">
        <v>45580</v>
      </c>
      <c r="B154" s="4" t="n">
        <v>13170</v>
      </c>
      <c r="C154" t="n">
        <v>4.14</v>
      </c>
      <c r="D154" t="n">
        <v>2</v>
      </c>
    </row>
    <row r="155">
      <c r="A155" s="3" t="n">
        <v>45581</v>
      </c>
      <c r="B155" s="4" t="n">
        <v>13237</v>
      </c>
      <c r="C155" t="n">
        <v>0.51</v>
      </c>
      <c r="D155" t="n">
        <v>2</v>
      </c>
    </row>
    <row r="156">
      <c r="A156" s="3" t="n">
        <v>45582</v>
      </c>
      <c r="B156" s="4" t="n">
        <v>14094</v>
      </c>
      <c r="C156" t="n">
        <v>6.47</v>
      </c>
      <c r="D156" t="n">
        <v>2</v>
      </c>
    </row>
    <row r="157">
      <c r="A157" s="3" t="n">
        <v>45583</v>
      </c>
      <c r="B157" s="4" t="n">
        <v>14105</v>
      </c>
      <c r="C157" t="n">
        <v>0.08</v>
      </c>
      <c r="D157" t="n">
        <v>2</v>
      </c>
    </row>
    <row r="158">
      <c r="A158" s="3" t="n">
        <v>45586</v>
      </c>
      <c r="B158" s="4" t="n">
        <v>13722</v>
      </c>
      <c r="C158" t="n">
        <v>-2.72</v>
      </c>
      <c r="D158" t="n">
        <v>2</v>
      </c>
    </row>
    <row r="159">
      <c r="A159" s="3" t="n">
        <v>45587</v>
      </c>
      <c r="B159" s="4" t="n">
        <v>13391</v>
      </c>
      <c r="C159" t="n">
        <v>-2.41</v>
      </c>
      <c r="D159" t="n">
        <v>2</v>
      </c>
    </row>
    <row r="160">
      <c r="A160" s="3" t="n">
        <v>45588</v>
      </c>
      <c r="B160" s="4" t="n">
        <v>13268</v>
      </c>
      <c r="C160" t="n">
        <v>-0.92</v>
      </c>
      <c r="D160" t="n">
        <v>2</v>
      </c>
    </row>
    <row r="161">
      <c r="A161" s="3" t="n">
        <v>45589</v>
      </c>
      <c r="B161" s="4" t="n">
        <v>11072</v>
      </c>
      <c r="C161" t="n">
        <v>-16.55</v>
      </c>
      <c r="D161" t="n">
        <v>2</v>
      </c>
    </row>
    <row r="162">
      <c r="A162" s="3" t="n">
        <v>45590</v>
      </c>
      <c r="B162" s="4" t="n">
        <v>10335</v>
      </c>
      <c r="C162" t="n">
        <v>-6.66</v>
      </c>
      <c r="D162" t="n">
        <v>2</v>
      </c>
    </row>
    <row r="163">
      <c r="A163" s="3" t="n">
        <v>45593</v>
      </c>
      <c r="B163" s="4" t="n">
        <v>10004</v>
      </c>
      <c r="C163" t="n">
        <v>-3.2</v>
      </c>
      <c r="D163" t="n">
        <v>2</v>
      </c>
    </row>
    <row r="164">
      <c r="A164" s="3" t="n">
        <v>45594</v>
      </c>
      <c r="B164" s="4" t="n">
        <v>9723</v>
      </c>
      <c r="C164" t="n">
        <v>-2.81</v>
      </c>
      <c r="D164" t="n">
        <v>2</v>
      </c>
    </row>
    <row r="165">
      <c r="A165" s="3" t="n">
        <v>45595</v>
      </c>
      <c r="B165" s="4" t="n">
        <v>9578</v>
      </c>
      <c r="C165" t="n">
        <v>-1.49</v>
      </c>
      <c r="D165" t="n">
        <v>2</v>
      </c>
    </row>
    <row r="166">
      <c r="A166" s="3" t="n">
        <v>45596</v>
      </c>
      <c r="B166" s="4" t="n">
        <v>9371</v>
      </c>
      <c r="C166" t="n">
        <v>-2.16</v>
      </c>
      <c r="D166" t="n">
        <v>2</v>
      </c>
    </row>
    <row r="167">
      <c r="A167" s="3" t="n">
        <v>45597</v>
      </c>
      <c r="B167" s="4" t="n">
        <v>8903</v>
      </c>
      <c r="C167" t="n">
        <v>-4.99</v>
      </c>
      <c r="D167" t="n">
        <v>2</v>
      </c>
    </row>
    <row r="168">
      <c r="A168" s="3" t="n">
        <v>45600</v>
      </c>
      <c r="B168" s="4" t="n">
        <v>8514</v>
      </c>
      <c r="C168" t="n">
        <v>-4.37</v>
      </c>
      <c r="D168" t="n">
        <v>2</v>
      </c>
    </row>
    <row r="169">
      <c r="A169" s="3" t="n">
        <v>45601</v>
      </c>
      <c r="B169" s="4" t="n">
        <v>8381</v>
      </c>
      <c r="C169" t="n">
        <v>-1.56</v>
      </c>
      <c r="D169" t="n">
        <v>2</v>
      </c>
    </row>
    <row r="170">
      <c r="A170" s="3" t="n">
        <v>45602</v>
      </c>
      <c r="B170" s="4" t="n">
        <v>8360</v>
      </c>
      <c r="C170" t="n">
        <v>-0.25</v>
      </c>
      <c r="D170" t="n">
        <v>2</v>
      </c>
    </row>
    <row r="171">
      <c r="A171" s="3" t="n">
        <v>45603</v>
      </c>
      <c r="B171" s="4" t="n">
        <v>8798</v>
      </c>
      <c r="C171" t="n">
        <v>5.24</v>
      </c>
      <c r="D171" t="n">
        <v>2</v>
      </c>
    </row>
    <row r="172">
      <c r="A172" s="3" t="n">
        <v>45604</v>
      </c>
      <c r="B172" s="4" t="n">
        <v>9090</v>
      </c>
      <c r="C172" t="n">
        <v>3.32</v>
      </c>
      <c r="D172" t="n">
        <v>2</v>
      </c>
    </row>
    <row r="173">
      <c r="A173" s="3" t="n">
        <v>45607</v>
      </c>
      <c r="B173" s="4" t="n">
        <v>9182</v>
      </c>
      <c r="C173" t="n">
        <v>1.01</v>
      </c>
      <c r="D173" t="n">
        <v>2</v>
      </c>
    </row>
    <row r="174">
      <c r="A174" s="3" t="n">
        <v>45608</v>
      </c>
      <c r="B174" s="4" t="n">
        <v>9228</v>
      </c>
      <c r="C174" t="n">
        <v>0.5</v>
      </c>
      <c r="D174" t="n">
        <v>2</v>
      </c>
    </row>
    <row r="175">
      <c r="A175" s="3" t="n">
        <v>45609</v>
      </c>
      <c r="B175" s="4" t="n">
        <v>9277</v>
      </c>
      <c r="C175" t="n">
        <v>0.53</v>
      </c>
      <c r="D175" t="n">
        <v>2</v>
      </c>
    </row>
    <row r="176">
      <c r="A176" s="3" t="n">
        <v>45610</v>
      </c>
      <c r="B176" s="4" t="n">
        <v>9149</v>
      </c>
      <c r="C176" t="n">
        <v>-1.38</v>
      </c>
      <c r="D176" t="n">
        <v>2</v>
      </c>
    </row>
    <row r="177">
      <c r="A177" s="3" t="n">
        <v>45611</v>
      </c>
      <c r="B177" s="4" t="n">
        <v>9295</v>
      </c>
      <c r="C177" t="n">
        <v>1.6</v>
      </c>
      <c r="D177" t="n">
        <v>2</v>
      </c>
    </row>
    <row r="178">
      <c r="A178" s="3" t="n">
        <v>45614</v>
      </c>
      <c r="B178" s="4" t="n">
        <v>9335</v>
      </c>
      <c r="C178" t="n">
        <v>0.43</v>
      </c>
      <c r="D178" t="n">
        <v>2</v>
      </c>
    </row>
    <row r="179">
      <c r="A179" s="3" t="n">
        <v>45615</v>
      </c>
      <c r="B179" s="4" t="n">
        <v>9297</v>
      </c>
      <c r="C179" t="n">
        <v>-0.41</v>
      </c>
      <c r="D179" t="n">
        <v>2</v>
      </c>
    </row>
    <row r="180">
      <c r="A180" s="3" t="n">
        <v>45616</v>
      </c>
      <c r="B180" s="4" t="n">
        <v>9270</v>
      </c>
      <c r="C180" t="n">
        <v>-0.29</v>
      </c>
      <c r="D180" t="n">
        <v>2</v>
      </c>
    </row>
    <row r="181">
      <c r="A181" s="3" t="n">
        <v>45617</v>
      </c>
      <c r="B181" s="4" t="n">
        <v>9246</v>
      </c>
      <c r="C181" t="n">
        <v>-0.26</v>
      </c>
      <c r="D181" t="n">
        <v>2</v>
      </c>
    </row>
    <row r="182">
      <c r="A182" s="3" t="n">
        <v>45618</v>
      </c>
      <c r="B182" s="4" t="n">
        <v>9343</v>
      </c>
      <c r="C182" t="n">
        <v>1.05</v>
      </c>
      <c r="D182" t="n">
        <v>2</v>
      </c>
    </row>
    <row r="183">
      <c r="A183" s="3" t="n">
        <v>45621</v>
      </c>
      <c r="B183" s="4" t="n">
        <v>9354</v>
      </c>
      <c r="C183" t="n">
        <v>0.12</v>
      </c>
      <c r="D183" t="n">
        <v>2</v>
      </c>
    </row>
    <row r="184">
      <c r="A184" s="3" t="n">
        <v>45622</v>
      </c>
      <c r="B184" s="4" t="n">
        <v>9382</v>
      </c>
      <c r="C184" t="n">
        <v>0.3</v>
      </c>
      <c r="D184" t="n">
        <v>2</v>
      </c>
    </row>
    <row r="185">
      <c r="A185" s="3" t="n">
        <v>45623</v>
      </c>
      <c r="B185" s="4" t="n">
        <v>9279</v>
      </c>
      <c r="C185" t="n">
        <v>-1.1</v>
      </c>
      <c r="D185" t="n">
        <v>2</v>
      </c>
    </row>
    <row r="186">
      <c r="A186" s="3" t="n">
        <v>45624</v>
      </c>
      <c r="B186" s="4" t="n">
        <v>9233</v>
      </c>
      <c r="C186" t="n">
        <v>-0.5</v>
      </c>
      <c r="D186" t="n">
        <v>2</v>
      </c>
    </row>
    <row r="187">
      <c r="A187" s="3" t="n">
        <v>45625</v>
      </c>
      <c r="B187" s="4" t="n">
        <v>9035</v>
      </c>
      <c r="C187" t="n">
        <v>-2.14</v>
      </c>
      <c r="D187" t="n">
        <v>2</v>
      </c>
    </row>
    <row r="188">
      <c r="A188" s="3" t="n">
        <v>45628</v>
      </c>
      <c r="B188" s="4" t="n">
        <v>8890</v>
      </c>
      <c r="C188" t="n">
        <v>-1.6</v>
      </c>
      <c r="D188" t="n">
        <v>2</v>
      </c>
    </row>
    <row r="189">
      <c r="A189" s="3" t="n">
        <v>45629</v>
      </c>
      <c r="B189" s="4" t="n">
        <v>8840</v>
      </c>
      <c r="C189" t="n">
        <v>-0.5600000000000001</v>
      </c>
      <c r="D189" t="n">
        <v>2</v>
      </c>
    </row>
    <row r="190">
      <c r="A190" s="3" t="n">
        <v>45630</v>
      </c>
      <c r="B190" s="4" t="n">
        <v>8881</v>
      </c>
      <c r="C190" t="n">
        <v>0.46</v>
      </c>
      <c r="D190" t="n">
        <v>2</v>
      </c>
    </row>
    <row r="191">
      <c r="A191" s="3" t="n">
        <v>45631</v>
      </c>
      <c r="B191" s="4" t="n">
        <v>9286</v>
      </c>
      <c r="C191" t="n">
        <v>4.56</v>
      </c>
      <c r="D191" t="n">
        <v>2</v>
      </c>
    </row>
    <row r="192">
      <c r="A192" s="3" t="n">
        <v>45635</v>
      </c>
      <c r="B192" s="4" t="n">
        <v>8711</v>
      </c>
      <c r="C192" t="n">
        <v>-6.19</v>
      </c>
      <c r="D192" t="n">
        <v>2</v>
      </c>
    </row>
    <row r="193">
      <c r="A193" s="3" t="n">
        <v>45636</v>
      </c>
      <c r="B193" s="4" t="n">
        <v>8657</v>
      </c>
      <c r="C193" t="n">
        <v>-0.62</v>
      </c>
      <c r="D193" t="n">
        <v>2</v>
      </c>
    </row>
    <row r="194">
      <c r="A194" s="3" t="n">
        <v>45637</v>
      </c>
      <c r="B194" s="4" t="n">
        <v>8540</v>
      </c>
      <c r="C194" t="n">
        <v>-1.35</v>
      </c>
      <c r="D194" t="n">
        <v>2</v>
      </c>
    </row>
    <row r="195">
      <c r="A195" s="3" t="n">
        <v>45638</v>
      </c>
      <c r="B195" s="4" t="n">
        <v>7987</v>
      </c>
      <c r="C195" t="n">
        <v>-6.48</v>
      </c>
      <c r="D195" t="n">
        <v>2</v>
      </c>
    </row>
    <row r="196">
      <c r="A196" s="3" t="n">
        <v>45639</v>
      </c>
      <c r="B196" s="4" t="n">
        <v>8098</v>
      </c>
      <c r="C196" t="n">
        <v>1.39</v>
      </c>
      <c r="D196" t="n">
        <v>2</v>
      </c>
    </row>
    <row r="197">
      <c r="A197" s="3" t="n">
        <v>45642</v>
      </c>
      <c r="B197" s="4" t="n">
        <v>8067</v>
      </c>
      <c r="C197" t="n">
        <v>-0.38</v>
      </c>
      <c r="D197" t="n">
        <v>2</v>
      </c>
    </row>
    <row r="198">
      <c r="A198" s="3" t="n">
        <v>45643</v>
      </c>
      <c r="B198" s="4" t="n">
        <v>8024</v>
      </c>
      <c r="C198" t="n">
        <v>-0.53</v>
      </c>
      <c r="D198" t="n">
        <v>2</v>
      </c>
    </row>
    <row r="199">
      <c r="A199" s="3" t="n">
        <v>45644</v>
      </c>
      <c r="B199" s="4" t="n">
        <v>7934</v>
      </c>
      <c r="C199" t="n">
        <v>-1.12</v>
      </c>
      <c r="D199" t="n">
        <v>2</v>
      </c>
    </row>
    <row r="200">
      <c r="A200" s="3" t="n">
        <v>45645</v>
      </c>
      <c r="B200" s="4" t="n">
        <v>7976</v>
      </c>
      <c r="C200" t="n">
        <v>0.53</v>
      </c>
      <c r="D200" t="n">
        <v>2</v>
      </c>
    </row>
    <row r="201">
      <c r="A201" s="3" t="n">
        <v>45646</v>
      </c>
      <c r="B201" s="4" t="n">
        <v>8035</v>
      </c>
      <c r="C201" t="n">
        <v>0.74</v>
      </c>
      <c r="D201" t="n">
        <v>2</v>
      </c>
    </row>
    <row r="202">
      <c r="A202" s="3" t="n">
        <v>45649</v>
      </c>
      <c r="B202" s="4" t="n">
        <v>7884</v>
      </c>
      <c r="C202" t="n">
        <v>-1.88</v>
      </c>
      <c r="D202" t="n">
        <v>2</v>
      </c>
    </row>
    <row r="203">
      <c r="A203" s="3" t="n">
        <v>45650</v>
      </c>
      <c r="B203" s="4" t="n">
        <v>7546</v>
      </c>
      <c r="C203" t="n">
        <v>-4.29</v>
      </c>
      <c r="D203" t="n">
        <v>2</v>
      </c>
    </row>
    <row r="204">
      <c r="A204" s="3" t="n">
        <v>45652</v>
      </c>
      <c r="B204" s="4" t="n">
        <v>7214</v>
      </c>
      <c r="C204" t="n">
        <v>-4.4</v>
      </c>
      <c r="D204" t="n">
        <v>2</v>
      </c>
    </row>
    <row r="205">
      <c r="A205" s="3" t="n">
        <v>45653</v>
      </c>
      <c r="B205" s="4" t="n">
        <v>6973</v>
      </c>
      <c r="C205" t="n">
        <v>-3.34</v>
      </c>
      <c r="D205" t="n">
        <v>2</v>
      </c>
    </row>
    <row r="206">
      <c r="A206" s="3" t="n">
        <v>45656</v>
      </c>
      <c r="B206" s="4" t="n">
        <v>6948</v>
      </c>
      <c r="C206" t="n">
        <v>-0.36</v>
      </c>
      <c r="D206" t="n">
        <v>2</v>
      </c>
    </row>
    <row r="207">
      <c r="A207" s="3" t="n">
        <v>45657</v>
      </c>
      <c r="B207" s="4" t="n">
        <v>6867</v>
      </c>
      <c r="C207" t="n">
        <v>-1.17</v>
      </c>
      <c r="D207" t="n">
        <v>2</v>
      </c>
    </row>
    <row r="208">
      <c r="A208" s="3" t="n">
        <v>45659</v>
      </c>
      <c r="B208" s="4" t="n">
        <v>6590</v>
      </c>
      <c r="C208" t="n">
        <v>-4.03</v>
      </c>
      <c r="D208" t="n">
        <v>2</v>
      </c>
    </row>
    <row r="209">
      <c r="A209" s="3" t="n">
        <v>45660</v>
      </c>
      <c r="B209" s="4" t="n">
        <v>6484</v>
      </c>
      <c r="C209" t="n">
        <v>-1.61</v>
      </c>
      <c r="D209" t="n">
        <v>2</v>
      </c>
    </row>
    <row r="210">
      <c r="A210" s="3" t="n">
        <v>45663</v>
      </c>
      <c r="B210" s="4" t="n">
        <v>6167</v>
      </c>
      <c r="C210" t="n">
        <v>-4.89</v>
      </c>
      <c r="D210" t="n">
        <v>2</v>
      </c>
    </row>
    <row r="211">
      <c r="A211" s="3" t="n">
        <v>45664</v>
      </c>
      <c r="B211" s="4" t="n">
        <v>6030</v>
      </c>
      <c r="C211" t="n">
        <v>-2.22</v>
      </c>
      <c r="D211" t="n">
        <v>2</v>
      </c>
    </row>
    <row r="212">
      <c r="A212" s="3" t="n">
        <v>45665</v>
      </c>
      <c r="B212" s="4" t="n">
        <v>6017</v>
      </c>
      <c r="C212" t="n">
        <v>-0.22</v>
      </c>
      <c r="D212" t="n">
        <v>2</v>
      </c>
    </row>
    <row r="213">
      <c r="A213" s="3" t="n">
        <v>45666</v>
      </c>
      <c r="B213" s="4" t="n">
        <v>5667</v>
      </c>
      <c r="C213" t="n">
        <v>-5.82</v>
      </c>
      <c r="D213" t="n">
        <v>2</v>
      </c>
    </row>
    <row r="214">
      <c r="A214" s="3" t="n">
        <v>45667</v>
      </c>
      <c r="B214" s="4" t="n">
        <v>5475</v>
      </c>
      <c r="C214" t="n">
        <v>-3.39</v>
      </c>
      <c r="D214" t="n">
        <v>2</v>
      </c>
    </row>
    <row r="215">
      <c r="A215" s="3" t="n">
        <v>45670</v>
      </c>
      <c r="B215" s="4" t="n">
        <v>5370</v>
      </c>
      <c r="C215" t="n">
        <v>-1.92</v>
      </c>
      <c r="D215" t="n">
        <v>2</v>
      </c>
    </row>
    <row r="216">
      <c r="A216" s="3" t="n">
        <v>45671</v>
      </c>
      <c r="B216" s="4" t="n">
        <v>5327</v>
      </c>
      <c r="C216" t="n">
        <v>-0.8</v>
      </c>
      <c r="D216" t="n">
        <v>2</v>
      </c>
    </row>
    <row r="217">
      <c r="A217" s="3" t="n">
        <v>45672</v>
      </c>
      <c r="B217" s="4" t="n">
        <v>5270</v>
      </c>
      <c r="C217" t="n">
        <v>-1.07</v>
      </c>
      <c r="D217" t="n">
        <v>2</v>
      </c>
    </row>
    <row r="218">
      <c r="A218" s="3" t="n">
        <v>45673</v>
      </c>
      <c r="B218" s="4" t="n">
        <v>5154</v>
      </c>
      <c r="C218" t="n">
        <v>-2.2</v>
      </c>
      <c r="D218" t="n">
        <v>2</v>
      </c>
    </row>
    <row r="219">
      <c r="A219" s="3" t="n">
        <v>45674</v>
      </c>
      <c r="B219" s="4" t="n">
        <v>5129</v>
      </c>
      <c r="C219" t="n">
        <v>-0.49</v>
      </c>
      <c r="D219" t="n">
        <v>2</v>
      </c>
    </row>
    <row r="220">
      <c r="A220" s="3" t="n">
        <v>45677</v>
      </c>
      <c r="B220" s="4" t="n">
        <v>5115</v>
      </c>
      <c r="C220" t="n">
        <v>-0.27</v>
      </c>
      <c r="D220" t="n">
        <v>2</v>
      </c>
    </row>
    <row r="221">
      <c r="A221" s="3" t="n">
        <v>45678</v>
      </c>
      <c r="B221" s="4" t="n">
        <v>5108</v>
      </c>
      <c r="C221" t="n">
        <v>-0.14</v>
      </c>
      <c r="D221" t="n">
        <v>2</v>
      </c>
    </row>
    <row r="222">
      <c r="A222" s="3" t="n">
        <v>45679</v>
      </c>
      <c r="B222" s="4" t="n">
        <v>5159</v>
      </c>
      <c r="C222" t="n">
        <v>1</v>
      </c>
      <c r="D222" t="n">
        <v>2</v>
      </c>
    </row>
    <row r="223">
      <c r="A223" s="3" t="n">
        <v>45680</v>
      </c>
      <c r="B223" s="4" t="n">
        <v>5748</v>
      </c>
      <c r="C223" t="n">
        <v>11.42</v>
      </c>
      <c r="D223" t="n">
        <v>2</v>
      </c>
    </row>
    <row r="224">
      <c r="A224" s="3" t="n">
        <v>45681</v>
      </c>
      <c r="B224" s="4" t="n">
        <v>5952</v>
      </c>
      <c r="C224" t="n">
        <v>3.55</v>
      </c>
      <c r="D224" t="n">
        <v>2</v>
      </c>
    </row>
    <row r="225">
      <c r="A225" s="3" t="n">
        <v>45688</v>
      </c>
      <c r="B225" s="4" t="n">
        <v>5716</v>
      </c>
      <c r="C225" t="n">
        <v>-3.97</v>
      </c>
      <c r="D225" t="n">
        <v>2</v>
      </c>
    </row>
    <row r="226">
      <c r="A226" s="3" t="n">
        <v>45691</v>
      </c>
      <c r="B226" s="4" t="n">
        <v>5639</v>
      </c>
      <c r="C226" t="n">
        <v>-1.35</v>
      </c>
      <c r="D226" t="n">
        <v>3</v>
      </c>
    </row>
    <row r="227">
      <c r="A227" s="3" t="n">
        <v>45692</v>
      </c>
      <c r="B227" s="4" t="n">
        <v>5739</v>
      </c>
      <c r="C227" t="n">
        <v>1.77</v>
      </c>
      <c r="D227" t="n">
        <v>3</v>
      </c>
    </row>
    <row r="228">
      <c r="A228" s="3" t="n">
        <v>45693</v>
      </c>
      <c r="B228" s="4" t="n">
        <v>5695</v>
      </c>
      <c r="C228" t="n">
        <v>-0.77</v>
      </c>
      <c r="D228" t="n">
        <v>3</v>
      </c>
    </row>
    <row r="229">
      <c r="A229" s="3" t="n">
        <v>45694</v>
      </c>
      <c r="B229" s="4" t="n">
        <v>5890</v>
      </c>
      <c r="C229" t="n">
        <v>3.42</v>
      </c>
      <c r="D229" t="n">
        <v>3</v>
      </c>
    </row>
    <row r="230">
      <c r="A230" s="3" t="n">
        <v>45695</v>
      </c>
      <c r="B230" s="4" t="n">
        <v>5946</v>
      </c>
      <c r="C230" t="n">
        <v>0.95</v>
      </c>
      <c r="D230" t="n">
        <v>3</v>
      </c>
    </row>
    <row r="231">
      <c r="A231" s="3" t="n">
        <v>45698</v>
      </c>
      <c r="B231" s="4" t="n">
        <v>5900</v>
      </c>
      <c r="C231" t="n">
        <v>-0.77</v>
      </c>
      <c r="D231" t="n">
        <v>3</v>
      </c>
    </row>
    <row r="232">
      <c r="A232" s="3" t="n">
        <v>45699</v>
      </c>
      <c r="B232" s="4" t="n">
        <v>5828</v>
      </c>
      <c r="C232" t="n">
        <v>-1.22</v>
      </c>
      <c r="D232" t="n">
        <v>3</v>
      </c>
    </row>
    <row r="233">
      <c r="A233" s="3" t="n">
        <v>45700</v>
      </c>
      <c r="B233" s="4" t="n">
        <v>5799</v>
      </c>
      <c r="C233" t="n">
        <v>-0.5</v>
      </c>
      <c r="D233" t="n">
        <v>3</v>
      </c>
    </row>
    <row r="234">
      <c r="A234" s="3" t="n">
        <v>45701</v>
      </c>
      <c r="B234" s="4" t="n">
        <v>5781</v>
      </c>
      <c r="C234" t="n">
        <v>-0.31</v>
      </c>
      <c r="D234" t="n">
        <v>3</v>
      </c>
    </row>
    <row r="235">
      <c r="A235" s="3" t="n">
        <v>45702</v>
      </c>
      <c r="B235" s="4" t="n">
        <v>5966</v>
      </c>
      <c r="C235" t="n">
        <v>3.2</v>
      </c>
      <c r="D235" t="n">
        <v>3</v>
      </c>
    </row>
    <row r="236">
      <c r="A236" s="3" t="n">
        <v>45705</v>
      </c>
      <c r="B236" s="4" t="n">
        <v>5980</v>
      </c>
      <c r="C236" t="n">
        <v>0.23</v>
      </c>
      <c r="D236" t="n">
        <v>3</v>
      </c>
    </row>
    <row r="237">
      <c r="A237" s="3" t="n">
        <v>45706</v>
      </c>
      <c r="B237" s="4" t="n">
        <v>6061</v>
      </c>
      <c r="C237" t="n">
        <v>1.35</v>
      </c>
      <c r="D237" t="n">
        <v>3</v>
      </c>
    </row>
    <row r="238">
      <c r="A238" s="3" t="n">
        <v>45707</v>
      </c>
      <c r="B238" s="4" t="n">
        <v>5984</v>
      </c>
      <c r="C238" t="n">
        <v>-1.27</v>
      </c>
      <c r="D238" t="n">
        <v>3</v>
      </c>
    </row>
    <row r="239">
      <c r="A239" s="3" t="n">
        <v>45708</v>
      </c>
      <c r="B239" s="4" t="n">
        <v>6382</v>
      </c>
      <c r="C239" t="n">
        <v>6.65</v>
      </c>
      <c r="D239" t="n">
        <v>3</v>
      </c>
    </row>
    <row r="240">
      <c r="A240" s="3" t="n">
        <v>45709</v>
      </c>
      <c r="B240" s="4" t="n">
        <v>6578</v>
      </c>
      <c r="C240" t="n">
        <v>3.07</v>
      </c>
      <c r="D240" t="n">
        <v>3</v>
      </c>
    </row>
    <row r="241">
      <c r="A241" s="3" t="n">
        <v>45712</v>
      </c>
      <c r="B241" s="4" t="n">
        <v>6560</v>
      </c>
      <c r="C241" t="n">
        <v>-0.27</v>
      </c>
      <c r="D241" t="n">
        <v>3</v>
      </c>
    </row>
    <row r="242">
      <c r="A242" s="3" t="n">
        <v>45713</v>
      </c>
      <c r="B242" s="4" t="n">
        <v>6566</v>
      </c>
      <c r="C242" t="n">
        <v>0.09</v>
      </c>
      <c r="D242" t="n">
        <v>3</v>
      </c>
    </row>
    <row r="243">
      <c r="A243" s="3" t="n">
        <v>45714</v>
      </c>
      <c r="B243" s="4" t="n">
        <v>6539</v>
      </c>
      <c r="C243" t="n">
        <v>-0.41</v>
      </c>
      <c r="D243" t="n">
        <v>3</v>
      </c>
    </row>
    <row r="244">
      <c r="A244" s="3" t="n">
        <v>45715</v>
      </c>
      <c r="B244" s="4" t="n">
        <v>6562</v>
      </c>
      <c r="C244" t="n">
        <v>0.35</v>
      </c>
      <c r="D244" t="n">
        <v>3</v>
      </c>
    </row>
    <row r="245">
      <c r="A245" s="3" t="n">
        <v>45716</v>
      </c>
      <c r="B245" s="4" t="n">
        <v>5853</v>
      </c>
      <c r="C245" t="n">
        <v>-10.8</v>
      </c>
      <c r="D245" t="n">
        <v>3</v>
      </c>
    </row>
    <row r="246">
      <c r="A246" s="3" t="n">
        <v>45720</v>
      </c>
      <c r="B246" s="4" t="n">
        <v>5963</v>
      </c>
      <c r="C246" t="n">
        <v>1.88</v>
      </c>
      <c r="D246" t="n">
        <v>3</v>
      </c>
    </row>
    <row r="247">
      <c r="A247" s="3" t="n">
        <v>45721</v>
      </c>
      <c r="B247" s="4" t="n">
        <v>6010</v>
      </c>
      <c r="C247" t="n">
        <v>0.79</v>
      </c>
      <c r="D247" t="n">
        <v>3</v>
      </c>
    </row>
    <row r="248">
      <c r="A248" s="3" t="n">
        <v>45722</v>
      </c>
      <c r="B248" s="4" t="n">
        <v>6348</v>
      </c>
      <c r="C248" t="n">
        <v>5.62</v>
      </c>
      <c r="D248" t="n">
        <v>3</v>
      </c>
    </row>
    <row r="249">
      <c r="A249" s="3" t="n">
        <v>45723</v>
      </c>
      <c r="B249" s="4" t="n">
        <v>6382</v>
      </c>
      <c r="C249" t="n">
        <v>0.54</v>
      </c>
      <c r="D249" t="n">
        <v>3</v>
      </c>
    </row>
    <row r="250">
      <c r="A250" s="3" t="n">
        <v>45726</v>
      </c>
      <c r="B250" s="4" t="n">
        <v>6414</v>
      </c>
      <c r="C250" t="n">
        <v>0.5</v>
      </c>
      <c r="D250" t="n">
        <v>3</v>
      </c>
    </row>
    <row r="251">
      <c r="A251" s="3" t="n">
        <v>45727</v>
      </c>
      <c r="B251" s="4" t="n">
        <v>6425</v>
      </c>
      <c r="C251" t="n">
        <v>0.17</v>
      </c>
      <c r="D251" t="n">
        <v>3</v>
      </c>
    </row>
    <row r="252">
      <c r="A252" s="3" t="n">
        <v>45728</v>
      </c>
      <c r="B252" s="4" t="n">
        <v>6422</v>
      </c>
      <c r="C252" t="n">
        <v>-0.05</v>
      </c>
      <c r="D252" t="n">
        <v>3</v>
      </c>
    </row>
    <row r="253">
      <c r="A253" s="3" t="n">
        <v>45729</v>
      </c>
      <c r="B253" s="4" t="n">
        <v>6407</v>
      </c>
      <c r="C253" t="n">
        <v>-0.23</v>
      </c>
      <c r="D253" t="n">
        <v>3</v>
      </c>
    </row>
    <row r="254">
      <c r="A254" s="3" t="n">
        <v>45730</v>
      </c>
      <c r="B254" s="4" t="n">
        <v>6499</v>
      </c>
      <c r="C254" t="n">
        <v>1.44</v>
      </c>
      <c r="D254" t="n">
        <v>3</v>
      </c>
    </row>
    <row r="255">
      <c r="A255" s="3" t="n">
        <v>45733</v>
      </c>
      <c r="B255" s="4" t="n">
        <v>6522</v>
      </c>
      <c r="C255" t="n">
        <v>0.35</v>
      </c>
      <c r="D255" t="n">
        <v>3</v>
      </c>
    </row>
    <row r="256">
      <c r="A256" s="3" t="n">
        <v>45734</v>
      </c>
      <c r="B256" s="4" t="n">
        <v>6499</v>
      </c>
      <c r="C256" t="n">
        <v>-0.35</v>
      </c>
      <c r="D256" t="n">
        <v>3</v>
      </c>
    </row>
    <row r="257">
      <c r="A257" s="3" t="n">
        <v>45735</v>
      </c>
      <c r="B257" s="4" t="n">
        <v>6546</v>
      </c>
      <c r="C257" t="n">
        <v>0.72</v>
      </c>
      <c r="D257" t="n">
        <v>3</v>
      </c>
    </row>
    <row r="258">
      <c r="A258" s="3" t="n">
        <v>45736</v>
      </c>
      <c r="B258" s="4" t="n">
        <v>6022</v>
      </c>
      <c r="C258" t="n">
        <v>-8</v>
      </c>
      <c r="D258" t="n">
        <v>3</v>
      </c>
    </row>
    <row r="259">
      <c r="A259" s="3" t="n">
        <v>45737</v>
      </c>
      <c r="B259" s="4" t="n">
        <v>6073</v>
      </c>
      <c r="C259" t="n">
        <v>0.85</v>
      </c>
      <c r="D259" t="n">
        <v>3</v>
      </c>
    </row>
    <row r="260">
      <c r="A260" s="3" t="n">
        <v>45740</v>
      </c>
      <c r="B260" s="4" t="n">
        <v>6044</v>
      </c>
      <c r="C260" t="n">
        <v>-0.48</v>
      </c>
      <c r="D260" t="n">
        <v>3</v>
      </c>
    </row>
    <row r="261">
      <c r="A261" s="3" t="n">
        <v>45741</v>
      </c>
      <c r="B261" s="4" t="n">
        <v>6037</v>
      </c>
      <c r="C261" t="n">
        <v>-0.12</v>
      </c>
      <c r="D261" t="n">
        <v>3</v>
      </c>
    </row>
    <row r="262">
      <c r="A262" s="3" t="n">
        <v>45742</v>
      </c>
      <c r="B262" s="4" t="n">
        <v>6043</v>
      </c>
      <c r="C262" t="n">
        <v>0.1</v>
      </c>
      <c r="D262" t="n">
        <v>3</v>
      </c>
    </row>
    <row r="263">
      <c r="A263" s="3" t="n">
        <v>45743</v>
      </c>
      <c r="B263" s="4" t="n">
        <v>5912</v>
      </c>
      <c r="C263" t="n">
        <v>-2.17</v>
      </c>
      <c r="D263" t="n">
        <v>3</v>
      </c>
    </row>
    <row r="264">
      <c r="A264" s="3" t="n">
        <v>45744</v>
      </c>
      <c r="B264" s="4" t="n">
        <v>5891</v>
      </c>
      <c r="C264" t="n">
        <v>-0.36</v>
      </c>
      <c r="D264" t="n">
        <v>3</v>
      </c>
    </row>
    <row r="265">
      <c r="A265" s="3" t="n">
        <v>45747</v>
      </c>
      <c r="B265" s="4" t="n">
        <v>5897</v>
      </c>
      <c r="C265" t="n">
        <v>0.1</v>
      </c>
      <c r="D265" t="n">
        <v>3</v>
      </c>
    </row>
    <row r="266">
      <c r="A266" s="3" t="n">
        <v>45748</v>
      </c>
      <c r="B266" s="4" t="n">
        <v>5877</v>
      </c>
      <c r="C266" t="n">
        <v>-0.34</v>
      </c>
      <c r="D266" t="n">
        <v>3</v>
      </c>
    </row>
    <row r="267">
      <c r="A267" s="3" t="n">
        <v>45749</v>
      </c>
      <c r="B267" s="4" t="n">
        <v>5840</v>
      </c>
      <c r="C267" t="n">
        <v>-0.63</v>
      </c>
      <c r="D267" t="n">
        <v>3</v>
      </c>
    </row>
    <row r="268">
      <c r="A268" s="3" t="n">
        <v>45750</v>
      </c>
      <c r="B268" s="4" t="n">
        <v>5702</v>
      </c>
      <c r="C268" t="n">
        <v>-2.36</v>
      </c>
      <c r="D268" t="n">
        <v>3</v>
      </c>
    </row>
    <row r="269">
      <c r="A269" s="3" t="n">
        <v>45751</v>
      </c>
      <c r="B269" s="4" t="n">
        <v>5385</v>
      </c>
      <c r="C269" t="n">
        <v>-5.56</v>
      </c>
      <c r="D269" t="n">
        <v>3</v>
      </c>
    </row>
    <row r="270">
      <c r="A270" s="3" t="n">
        <v>45754</v>
      </c>
      <c r="B270" s="4" t="n">
        <v>5511</v>
      </c>
      <c r="C270" t="n">
        <v>2.34</v>
      </c>
      <c r="D270" t="n">
        <v>3</v>
      </c>
    </row>
    <row r="271">
      <c r="A271" s="3" t="n">
        <v>45755</v>
      </c>
      <c r="B271" s="4" t="n">
        <v>5466</v>
      </c>
      <c r="C271" t="n">
        <v>-0.82</v>
      </c>
      <c r="D271" t="n">
        <v>3</v>
      </c>
    </row>
    <row r="272">
      <c r="A272" s="3" t="n">
        <v>45756</v>
      </c>
      <c r="B272" s="4" t="n">
        <v>5431</v>
      </c>
      <c r="C272" t="n">
        <v>-0.64</v>
      </c>
      <c r="D272" t="n">
        <v>3</v>
      </c>
    </row>
    <row r="273">
      <c r="A273" s="3" t="n">
        <v>45757</v>
      </c>
      <c r="B273" s="4" t="n">
        <v>5287</v>
      </c>
      <c r="C273" t="n">
        <v>-2.65</v>
      </c>
      <c r="D273" t="n">
        <v>3</v>
      </c>
    </row>
    <row r="274">
      <c r="A274" s="3" t="n">
        <v>45758</v>
      </c>
      <c r="B274" s="4" t="n">
        <v>5332</v>
      </c>
      <c r="C274" t="n">
        <v>0.85</v>
      </c>
      <c r="D274" t="n">
        <v>3</v>
      </c>
    </row>
    <row r="275">
      <c r="A275" s="3" t="n">
        <v>45761</v>
      </c>
      <c r="B275" s="4" t="n">
        <v>5307</v>
      </c>
      <c r="C275" t="n">
        <v>-0.47</v>
      </c>
      <c r="D275" t="n">
        <v>3</v>
      </c>
    </row>
    <row r="276">
      <c r="A276" s="3" t="n">
        <v>45762</v>
      </c>
      <c r="B276" s="4" t="n">
        <v>5301</v>
      </c>
      <c r="C276" t="n">
        <v>-0.11</v>
      </c>
      <c r="D276" t="n">
        <v>3</v>
      </c>
    </row>
    <row r="277">
      <c r="A277" s="3" t="n">
        <v>45763</v>
      </c>
      <c r="B277" s="4" t="n">
        <v>5258</v>
      </c>
      <c r="C277" t="n">
        <v>-0.8100000000000001</v>
      </c>
      <c r="D277" t="n">
        <v>3</v>
      </c>
    </row>
    <row r="278">
      <c r="A278" s="3" t="n">
        <v>45764</v>
      </c>
      <c r="B278" s="4" t="n">
        <v>5173</v>
      </c>
      <c r="C278" t="n">
        <v>-1.62</v>
      </c>
      <c r="D278" t="n">
        <v>3</v>
      </c>
    </row>
    <row r="279">
      <c r="A279" s="3" t="n">
        <v>45765</v>
      </c>
      <c r="B279" s="4" t="n">
        <v>5177</v>
      </c>
      <c r="C279" t="n">
        <v>0.08</v>
      </c>
      <c r="D279" t="n">
        <v>3</v>
      </c>
    </row>
    <row r="280">
      <c r="A280" s="3" t="n">
        <v>45768</v>
      </c>
      <c r="B280" s="4" t="n">
        <v>5085</v>
      </c>
      <c r="C280" t="n">
        <v>-1.78</v>
      </c>
      <c r="D280" t="n">
        <v>3</v>
      </c>
    </row>
    <row r="281">
      <c r="A281" s="3" t="n">
        <v>45769</v>
      </c>
      <c r="B281" s="4" t="n">
        <v>5080</v>
      </c>
      <c r="C281" t="n">
        <v>-0.1</v>
      </c>
      <c r="D281" t="n">
        <v>3</v>
      </c>
    </row>
    <row r="282">
      <c r="A282" s="3" t="n">
        <v>45770</v>
      </c>
      <c r="B282" s="4" t="n">
        <v>5073</v>
      </c>
      <c r="C282" t="n">
        <v>-0.14</v>
      </c>
      <c r="D282" t="n">
        <v>3</v>
      </c>
    </row>
    <row r="283">
      <c r="A283" s="3" t="n">
        <v>45771</v>
      </c>
      <c r="B283" s="4" t="n">
        <v>5195</v>
      </c>
      <c r="C283" t="n">
        <v>2.4</v>
      </c>
      <c r="D283" t="n">
        <v>3</v>
      </c>
    </row>
    <row r="284">
      <c r="A284" s="3" t="n">
        <v>45772</v>
      </c>
      <c r="B284" s="4" t="n">
        <v>4996</v>
      </c>
      <c r="C284" t="n">
        <v>-3.83</v>
      </c>
      <c r="D284" t="n">
        <v>3</v>
      </c>
    </row>
    <row r="285">
      <c r="A285" s="3" t="n">
        <v>45775</v>
      </c>
      <c r="B285" s="4" t="n">
        <v>5122</v>
      </c>
      <c r="C285" t="n">
        <v>2.52</v>
      </c>
      <c r="D285" t="n">
        <v>3</v>
      </c>
    </row>
    <row r="286">
      <c r="A286" s="3" t="n">
        <v>45776</v>
      </c>
      <c r="B286" s="4" t="n">
        <v>5215</v>
      </c>
      <c r="C286" t="n">
        <v>1.82</v>
      </c>
      <c r="D286" t="n">
        <v>3</v>
      </c>
    </row>
    <row r="287">
      <c r="A287" s="3" t="n">
        <v>45777</v>
      </c>
      <c r="B287" s="4" t="n">
        <v>5139</v>
      </c>
      <c r="C287" t="n">
        <v>-1.46</v>
      </c>
      <c r="D287" t="n">
        <v>3</v>
      </c>
    </row>
    <row r="288">
      <c r="A288" s="3" t="n">
        <v>45779</v>
      </c>
      <c r="B288" s="4" t="n">
        <v>4449</v>
      </c>
      <c r="C288" t="n">
        <v>-13.43</v>
      </c>
      <c r="D288" t="n">
        <v>3</v>
      </c>
    </row>
    <row r="289">
      <c r="A289" s="3" t="n">
        <v>45784</v>
      </c>
      <c r="B289" s="4" t="n">
        <v>4363</v>
      </c>
      <c r="C289" t="n">
        <v>-1.93</v>
      </c>
      <c r="D289" t="n">
        <v>3</v>
      </c>
    </row>
    <row r="290">
      <c r="A290" s="3" t="n">
        <v>45785</v>
      </c>
      <c r="B290" s="4" t="n">
        <v>4259</v>
      </c>
      <c r="C290" t="n">
        <v>-2.38</v>
      </c>
      <c r="D290" t="n">
        <v>3</v>
      </c>
    </row>
    <row r="291">
      <c r="A291" s="3" t="n">
        <v>45786</v>
      </c>
      <c r="B291" s="4" t="n">
        <v>4179</v>
      </c>
      <c r="C291" t="n">
        <v>-1.88</v>
      </c>
      <c r="D291" t="n">
        <v>3</v>
      </c>
    </row>
    <row r="292">
      <c r="A292" s="3" t="n">
        <v>45789</v>
      </c>
      <c r="B292" s="4" t="n">
        <v>4171</v>
      </c>
      <c r="C292" t="n">
        <v>-0.19</v>
      </c>
      <c r="D292" t="n">
        <v>3</v>
      </c>
    </row>
    <row r="293">
      <c r="A293" s="3" t="n">
        <v>45790</v>
      </c>
      <c r="B293" s="4" t="n">
        <v>4178</v>
      </c>
      <c r="C293" t="n">
        <v>0.17</v>
      </c>
      <c r="D293" t="n">
        <v>3</v>
      </c>
    </row>
    <row r="294">
      <c r="A294" s="3" t="n">
        <v>45791</v>
      </c>
      <c r="B294" s="4" t="n">
        <v>4137</v>
      </c>
      <c r="C294" t="n">
        <v>-0.98</v>
      </c>
      <c r="D294" t="n">
        <v>3</v>
      </c>
    </row>
    <row r="295">
      <c r="A295" s="3" t="n">
        <v>45792</v>
      </c>
      <c r="B295" s="4" t="n">
        <v>4184</v>
      </c>
      <c r="C295" t="n">
        <v>1.14</v>
      </c>
      <c r="D295" t="n">
        <v>3</v>
      </c>
    </row>
    <row r="296">
      <c r="A296" s="3" t="n">
        <v>45793</v>
      </c>
      <c r="B296" s="4" t="n">
        <v>4216</v>
      </c>
      <c r="C296" t="n">
        <v>0.76</v>
      </c>
      <c r="D296" t="n">
        <v>3</v>
      </c>
    </row>
    <row r="297">
      <c r="A297" s="3" t="n">
        <v>45796</v>
      </c>
      <c r="B297" s="4" t="n">
        <v>4315</v>
      </c>
      <c r="C297" t="n">
        <v>2.35</v>
      </c>
      <c r="D297" t="n">
        <v>3</v>
      </c>
    </row>
    <row r="298">
      <c r="A298" s="3" t="n">
        <v>45797</v>
      </c>
      <c r="B298" s="4" t="n">
        <v>4338</v>
      </c>
      <c r="C298" t="n">
        <v>0.53</v>
      </c>
      <c r="D298" t="n">
        <v>3</v>
      </c>
    </row>
    <row r="299">
      <c r="A299" s="3" t="n">
        <v>45798</v>
      </c>
      <c r="B299" s="4" t="n">
        <v>4326</v>
      </c>
      <c r="C299" t="n">
        <v>-0.28</v>
      </c>
      <c r="D299" t="n">
        <v>3</v>
      </c>
    </row>
    <row r="300">
      <c r="A300" s="3" t="n">
        <v>45799</v>
      </c>
      <c r="B300" s="4" t="n">
        <v>4247</v>
      </c>
      <c r="C300" t="n">
        <v>-1.83</v>
      </c>
      <c r="D300" t="n">
        <v>3</v>
      </c>
    </row>
    <row r="301">
      <c r="A301" s="3" t="n">
        <v>45800</v>
      </c>
      <c r="B301" s="4" t="n">
        <v>4341</v>
      </c>
      <c r="C301" t="n">
        <v>2.21</v>
      </c>
      <c r="D301" t="n">
        <v>3</v>
      </c>
    </row>
    <row r="302">
      <c r="A302" s="3" t="n">
        <v>45803</v>
      </c>
      <c r="B302" s="4" t="n">
        <v>4301</v>
      </c>
      <c r="C302" t="n">
        <v>-0.92</v>
      </c>
      <c r="D302" t="n">
        <v>3</v>
      </c>
    </row>
    <row r="303">
      <c r="A303" s="3" t="n">
        <v>45804</v>
      </c>
      <c r="B303" s="4" t="n">
        <v>4319</v>
      </c>
      <c r="C303" t="n">
        <v>0.42</v>
      </c>
      <c r="D303" t="n">
        <v>3</v>
      </c>
    </row>
    <row r="304">
      <c r="A304" s="3" t="n">
        <v>45805</v>
      </c>
      <c r="B304" s="4" t="n">
        <v>4341</v>
      </c>
      <c r="C304" t="n">
        <v>0.51</v>
      </c>
      <c r="D304" t="n">
        <v>3</v>
      </c>
    </row>
    <row r="305">
      <c r="A305" s="3" t="n">
        <v>45806</v>
      </c>
      <c r="B305" s="4" t="n">
        <v>4069</v>
      </c>
      <c r="C305" t="n">
        <v>-6.27</v>
      </c>
      <c r="D305" t="n">
        <v>3</v>
      </c>
    </row>
    <row r="306">
      <c r="A306" s="3" t="n">
        <v>45807</v>
      </c>
      <c r="B306" s="4" t="n">
        <v>3830</v>
      </c>
      <c r="C306" t="n">
        <v>-5.87</v>
      </c>
      <c r="D306" t="n">
        <v>3</v>
      </c>
    </row>
    <row r="307">
      <c r="A307" s="3" t="n">
        <v>45810</v>
      </c>
      <c r="B307" s="4" t="n">
        <v>3812</v>
      </c>
      <c r="C307" t="n">
        <v>-0.47</v>
      </c>
      <c r="D307" t="n">
        <v>3</v>
      </c>
    </row>
    <row r="308">
      <c r="A308" s="3" t="n">
        <v>45812</v>
      </c>
      <c r="B308" s="4" t="n">
        <v>3851</v>
      </c>
      <c r="C308" t="n">
        <v>1.02</v>
      </c>
      <c r="D308" t="n">
        <v>3</v>
      </c>
    </row>
    <row r="309">
      <c r="A309" s="3" t="n">
        <v>45813</v>
      </c>
      <c r="B309" s="4" t="n">
        <v>3909</v>
      </c>
      <c r="C309" t="n">
        <v>1.51</v>
      </c>
      <c r="D309" t="n">
        <v>3</v>
      </c>
    </row>
    <row r="310">
      <c r="A310" s="3" t="n">
        <v>45817</v>
      </c>
      <c r="B310" s="4" t="n">
        <v>3911</v>
      </c>
      <c r="C310" t="n">
        <v>0.05</v>
      </c>
      <c r="D310" t="n">
        <v>3</v>
      </c>
    </row>
    <row r="311">
      <c r="A311" s="3" t="n">
        <v>45818</v>
      </c>
      <c r="B311" s="4" t="n">
        <v>3939</v>
      </c>
      <c r="C311" t="n">
        <v>0.72</v>
      </c>
      <c r="D311" t="n">
        <v>3</v>
      </c>
    </row>
    <row r="312">
      <c r="A312" s="3" t="n">
        <v>45819</v>
      </c>
      <c r="B312" s="4" t="n">
        <v>3919</v>
      </c>
      <c r="C312" t="n">
        <v>-0.51</v>
      </c>
      <c r="D312" t="n">
        <v>3</v>
      </c>
    </row>
    <row r="313">
      <c r="A313" s="3" t="n">
        <v>45820</v>
      </c>
      <c r="B313" s="4" t="n">
        <v>3870</v>
      </c>
      <c r="C313" t="n">
        <v>-1.25</v>
      </c>
      <c r="D313" t="n">
        <v>3</v>
      </c>
    </row>
    <row r="314">
      <c r="A314" s="3" t="n">
        <v>45821</v>
      </c>
      <c r="B314" s="4" t="n">
        <v>3898</v>
      </c>
      <c r="C314" t="n">
        <v>0.72</v>
      </c>
      <c r="D314" t="n">
        <v>3</v>
      </c>
    </row>
    <row r="315">
      <c r="A315" s="3" t="n">
        <v>45824</v>
      </c>
      <c r="B315" s="4" t="n">
        <v>3895</v>
      </c>
      <c r="C315" t="n">
        <v>-0.08</v>
      </c>
      <c r="D315" t="n">
        <v>3</v>
      </c>
    </row>
    <row r="316">
      <c r="A316" s="3" t="n">
        <v>45825</v>
      </c>
      <c r="B316" s="4" t="n">
        <v>3926</v>
      </c>
      <c r="C316" t="n">
        <v>0.8</v>
      </c>
      <c r="D316" t="n">
        <v>3</v>
      </c>
    </row>
    <row r="317">
      <c r="A317" s="3" t="n">
        <v>45826</v>
      </c>
      <c r="B317" s="4" t="n">
        <v>3916</v>
      </c>
      <c r="C317" t="n">
        <v>-0.25</v>
      </c>
      <c r="D317" t="n">
        <v>3</v>
      </c>
    </row>
    <row r="318">
      <c r="A318" s="3" t="n">
        <v>45827</v>
      </c>
      <c r="B318" s="4" t="n">
        <v>4247</v>
      </c>
      <c r="C318" t="n">
        <v>8.449999999999999</v>
      </c>
      <c r="D318" t="n">
        <v>3</v>
      </c>
    </row>
    <row r="319">
      <c r="A319" s="3" t="n">
        <v>45828</v>
      </c>
      <c r="B319" s="4" t="n">
        <v>4275</v>
      </c>
      <c r="C319" t="n">
        <v>0.66</v>
      </c>
      <c r="D319" t="n">
        <v>3</v>
      </c>
    </row>
    <row r="320">
      <c r="A320" s="3" t="n">
        <v>45831</v>
      </c>
      <c r="B320" s="4" t="n">
        <v>4241</v>
      </c>
      <c r="C320" t="n">
        <v>-0.8</v>
      </c>
      <c r="D320" t="n">
        <v>3</v>
      </c>
    </row>
    <row r="321">
      <c r="A321" s="3" t="n">
        <v>45832</v>
      </c>
      <c r="B321" s="4" t="n">
        <v>4197</v>
      </c>
      <c r="C321" t="n">
        <v>-1.04</v>
      </c>
      <c r="D321" t="n">
        <v>3</v>
      </c>
    </row>
    <row r="322">
      <c r="A322" s="3" t="n">
        <v>45833</v>
      </c>
      <c r="B322" s="4" t="n">
        <v>4127</v>
      </c>
      <c r="C322" t="n">
        <v>-1.67</v>
      </c>
      <c r="D322" t="n">
        <v>3</v>
      </c>
    </row>
    <row r="323">
      <c r="A323" s="3" t="n">
        <v>45834</v>
      </c>
      <c r="B323" s="4" t="n">
        <v>3630</v>
      </c>
      <c r="C323" t="n">
        <v>-12.04</v>
      </c>
      <c r="D323" t="n">
        <v>3</v>
      </c>
    </row>
    <row r="324">
      <c r="A324" s="3" t="n">
        <v>45835</v>
      </c>
      <c r="B324" s="4" t="n">
        <v>3472</v>
      </c>
      <c r="C324" t="n">
        <v>-4.35</v>
      </c>
      <c r="D324" t="n">
        <v>3</v>
      </c>
    </row>
    <row r="325">
      <c r="A325" s="3" t="n">
        <v>45838</v>
      </c>
      <c r="B325" s="4" t="n">
        <v>3478</v>
      </c>
      <c r="C325" t="n">
        <v>0.17</v>
      </c>
      <c r="D325" t="n">
        <v>3</v>
      </c>
    </row>
    <row r="326">
      <c r="A326" s="3" t="n">
        <v>45839</v>
      </c>
      <c r="B326" s="4" t="n">
        <v>3447</v>
      </c>
      <c r="C326" t="n">
        <v>-0.89</v>
      </c>
      <c r="D326" t="n">
        <v>3</v>
      </c>
    </row>
    <row r="327">
      <c r="A327" s="3" t="n">
        <v>45840</v>
      </c>
      <c r="B327" s="4" t="n">
        <v>3475</v>
      </c>
      <c r="C327" t="n">
        <v>0.8100000000000001</v>
      </c>
      <c r="D327" t="n">
        <v>3</v>
      </c>
    </row>
    <row r="328">
      <c r="A328" s="3" t="n">
        <v>45841</v>
      </c>
      <c r="B328" s="4" t="n">
        <v>3877</v>
      </c>
      <c r="C328" t="n">
        <v>11.57</v>
      </c>
      <c r="D328" t="n">
        <v>3</v>
      </c>
    </row>
    <row r="329">
      <c r="A329" s="3" t="n">
        <v>45842</v>
      </c>
      <c r="B329" s="4" t="n">
        <v>3993</v>
      </c>
      <c r="C329" t="n">
        <v>2.99</v>
      </c>
      <c r="D329" t="n">
        <v>3</v>
      </c>
    </row>
    <row r="330">
      <c r="A330" s="3" t="n">
        <v>45845</v>
      </c>
      <c r="B330" s="4" t="n">
        <v>4047</v>
      </c>
      <c r="C330" t="n">
        <v>1.35</v>
      </c>
      <c r="D330" t="n">
        <v>3</v>
      </c>
    </row>
    <row r="331">
      <c r="A331" s="3" t="n">
        <v>45846</v>
      </c>
      <c r="B331" s="4" t="n">
        <v>4100</v>
      </c>
      <c r="C331" t="n">
        <v>1.31</v>
      </c>
      <c r="D331" t="n">
        <v>3</v>
      </c>
    </row>
    <row r="332">
      <c r="A332" s="3" t="n">
        <v>45847</v>
      </c>
      <c r="B332" s="4" t="n">
        <v>4185</v>
      </c>
      <c r="C332" t="n">
        <v>2.07</v>
      </c>
      <c r="D332" t="n">
        <v>3</v>
      </c>
    </row>
    <row r="333">
      <c r="A333" s="3" t="n">
        <v>45848</v>
      </c>
      <c r="B333" s="4" t="n">
        <v>4674</v>
      </c>
      <c r="C333" t="n">
        <v>11.68</v>
      </c>
      <c r="D333" t="n">
        <v>3</v>
      </c>
    </row>
    <row r="334">
      <c r="A334" s="3" t="n">
        <v>45849</v>
      </c>
      <c r="B334" s="4" t="n">
        <v>4727</v>
      </c>
      <c r="C334" t="n">
        <v>1.13</v>
      </c>
      <c r="D334" t="n">
        <v>3</v>
      </c>
    </row>
    <row r="335">
      <c r="A335" s="3" t="n">
        <v>45852</v>
      </c>
      <c r="B335" s="4" t="n">
        <v>4801</v>
      </c>
      <c r="C335" t="n">
        <v>1.57</v>
      </c>
      <c r="D335" t="n">
        <v>3</v>
      </c>
    </row>
    <row r="336">
      <c r="A336" s="3" t="n">
        <v>45853</v>
      </c>
      <c r="B336" s="4" t="n">
        <v>4827</v>
      </c>
      <c r="C336" t="n">
        <v>0.54</v>
      </c>
      <c r="D336" t="n">
        <v>3</v>
      </c>
    </row>
    <row r="337">
      <c r="A337" s="3" t="n">
        <v>45854</v>
      </c>
      <c r="B337" s="4" t="n">
        <v>4846</v>
      </c>
      <c r="C337" t="n">
        <v>0.39</v>
      </c>
      <c r="D337" t="n">
        <v>3</v>
      </c>
    </row>
    <row r="338">
      <c r="A338" s="3" t="n">
        <v>45855</v>
      </c>
      <c r="B338" s="4" t="n">
        <v>4427</v>
      </c>
      <c r="C338" t="n">
        <v>-8.65</v>
      </c>
      <c r="D338" t="n">
        <v>4</v>
      </c>
    </row>
    <row r="339">
      <c r="A339" s="3" t="n">
        <v>45856</v>
      </c>
      <c r="B339" s="4" t="n">
        <v>4389</v>
      </c>
      <c r="C339" t="n">
        <v>-0.86</v>
      </c>
      <c r="D339" t="n">
        <v>4</v>
      </c>
    </row>
    <row r="340">
      <c r="A340" s="3" t="n">
        <v>45859</v>
      </c>
      <c r="B340" s="4" t="n">
        <v>4370</v>
      </c>
      <c r="C340" t="n">
        <v>-0.43</v>
      </c>
      <c r="D340" t="n">
        <v>4</v>
      </c>
    </row>
    <row r="341">
      <c r="A341" s="3" t="n">
        <v>45860</v>
      </c>
      <c r="B341" s="4" t="n">
        <v>4420</v>
      </c>
      <c r="C341" t="n">
        <v>1.14</v>
      </c>
      <c r="D341" t="n">
        <v>4</v>
      </c>
    </row>
    <row r="342">
      <c r="A342" s="3" t="n">
        <v>45861</v>
      </c>
      <c r="B342" s="4" t="n">
        <v>4397</v>
      </c>
      <c r="C342" t="n">
        <v>-0.52</v>
      </c>
      <c r="D342" t="n">
        <v>4</v>
      </c>
    </row>
    <row r="343">
      <c r="A343" s="3" t="n">
        <v>45862</v>
      </c>
      <c r="B343" s="4" t="n">
        <v>4634</v>
      </c>
      <c r="C343" t="n">
        <v>5.39</v>
      </c>
      <c r="D343" t="n">
        <v>4</v>
      </c>
    </row>
    <row r="344">
      <c r="A344" s="3" t="n">
        <v>45863</v>
      </c>
      <c r="B344" s="4" t="n">
        <v>4755</v>
      </c>
      <c r="C344" t="n">
        <v>2.61</v>
      </c>
      <c r="D344" t="n">
        <v>4</v>
      </c>
    </row>
    <row r="345">
      <c r="A345" s="3" t="n">
        <v>45866</v>
      </c>
      <c r="B345" s="4" t="n">
        <v>5077</v>
      </c>
      <c r="C345" t="n">
        <v>6.77</v>
      </c>
      <c r="D345" t="n">
        <v>4</v>
      </c>
    </row>
    <row r="346">
      <c r="A346" s="3" t="n">
        <v>45867</v>
      </c>
      <c r="B346" s="4" t="n">
        <v>5600</v>
      </c>
      <c r="C346" t="n">
        <v>10.3</v>
      </c>
      <c r="D346" t="n">
        <v>4</v>
      </c>
    </row>
    <row r="347">
      <c r="A347" s="3" t="n">
        <v>45868</v>
      </c>
      <c r="B347" s="4" t="n">
        <v>5696</v>
      </c>
      <c r="C347" t="n">
        <v>1.71</v>
      </c>
      <c r="D347" t="n">
        <v>4</v>
      </c>
    </row>
    <row r="348">
      <c r="A348" s="3" t="n">
        <v>45869</v>
      </c>
      <c r="B348" s="4" t="n">
        <v>6494</v>
      </c>
      <c r="C348" t="n">
        <v>14.01</v>
      </c>
      <c r="D348" t="n">
        <v>4</v>
      </c>
    </row>
    <row r="349">
      <c r="A349" s="3" t="n">
        <v>45870</v>
      </c>
      <c r="B349" s="4" t="n">
        <v>6716</v>
      </c>
      <c r="C349" t="n">
        <v>3.42</v>
      </c>
      <c r="D349" t="n">
        <v>4</v>
      </c>
    </row>
    <row r="350">
      <c r="A350" s="3" t="n">
        <v>45873</v>
      </c>
      <c r="B350" s="4" t="n">
        <v>6746</v>
      </c>
      <c r="C350" t="n">
        <v>0.45</v>
      </c>
      <c r="D350" t="n">
        <v>4</v>
      </c>
    </row>
    <row r="351">
      <c r="A351" s="3" t="n">
        <v>45874</v>
      </c>
      <c r="B351" s="4" t="n">
        <v>6646</v>
      </c>
      <c r="C351" t="n">
        <v>-1.48</v>
      </c>
      <c r="D351" t="n">
        <v>4</v>
      </c>
    </row>
    <row r="352">
      <c r="A352" s="3" t="n">
        <v>45875</v>
      </c>
      <c r="B352" s="4" t="n">
        <v>6574</v>
      </c>
      <c r="C352" t="n">
        <v>-1.08</v>
      </c>
      <c r="D352" t="n">
        <v>4</v>
      </c>
    </row>
    <row r="353">
      <c r="A353" s="3" t="n">
        <v>45876</v>
      </c>
      <c r="B353" s="4" t="n">
        <v>6043</v>
      </c>
      <c r="C353" t="n">
        <v>-8.08</v>
      </c>
      <c r="D353" t="n">
        <v>4</v>
      </c>
    </row>
    <row r="354">
      <c r="A354" s="3" t="n">
        <v>45877</v>
      </c>
      <c r="B354" s="4" t="n">
        <v>5780</v>
      </c>
      <c r="C354" t="n">
        <v>-4.35</v>
      </c>
      <c r="D354" t="n">
        <v>4</v>
      </c>
    </row>
    <row r="355">
      <c r="A355" s="3" t="n">
        <v>45880</v>
      </c>
      <c r="B355" s="4" t="n">
        <v>5724</v>
      </c>
      <c r="C355" t="n">
        <v>-0.97</v>
      </c>
      <c r="D355" t="n">
        <v>4</v>
      </c>
    </row>
    <row r="356">
      <c r="A356" s="3" t="n">
        <v>45881</v>
      </c>
      <c r="B356" s="4" t="n">
        <v>5607</v>
      </c>
      <c r="C356" t="n">
        <v>-2.04</v>
      </c>
      <c r="D356" t="n">
        <v>4</v>
      </c>
    </row>
    <row r="357">
      <c r="A357" s="3" t="n">
        <v>45882</v>
      </c>
      <c r="B357" s="4" t="n">
        <v>5583</v>
      </c>
      <c r="C357" t="n">
        <v>-0.43</v>
      </c>
      <c r="D357" t="n">
        <v>4</v>
      </c>
    </row>
    <row r="358">
      <c r="A358" s="3" t="n">
        <v>45883</v>
      </c>
      <c r="B358" s="4" t="n">
        <v>5407</v>
      </c>
      <c r="C358" t="n">
        <v>-3.15</v>
      </c>
      <c r="D358" t="n">
        <v>4</v>
      </c>
    </row>
    <row r="359">
      <c r="A359" s="3" t="n">
        <v>45887</v>
      </c>
      <c r="B359" s="4" t="n">
        <v>5571</v>
      </c>
      <c r="C359" t="n">
        <v>3.03</v>
      </c>
      <c r="D359" t="n">
        <v>4</v>
      </c>
    </row>
    <row r="360">
      <c r="A360" s="3" t="n">
        <v>45888</v>
      </c>
      <c r="B360" s="4" t="n">
        <v>5610</v>
      </c>
      <c r="C360" t="n">
        <v>0.7</v>
      </c>
      <c r="D360" t="n">
        <v>4</v>
      </c>
    </row>
    <row r="361">
      <c r="A361" s="3" t="n">
        <v>45889</v>
      </c>
      <c r="B361" s="4" t="n">
        <v>5639</v>
      </c>
      <c r="C361" t="n">
        <v>0.52</v>
      </c>
      <c r="D361" t="n">
        <v>4</v>
      </c>
    </row>
    <row r="362">
      <c r="A362" s="3" t="n">
        <v>45890</v>
      </c>
      <c r="B362" s="4" t="n">
        <v>6090</v>
      </c>
      <c r="C362" t="n">
        <v>8</v>
      </c>
      <c r="D362" t="n">
        <v>4</v>
      </c>
    </row>
    <row r="363">
      <c r="A363" s="3" t="n">
        <v>45891</v>
      </c>
      <c r="B363" s="4" t="n">
        <v>6885</v>
      </c>
      <c r="C363" t="n">
        <v>13.05</v>
      </c>
      <c r="D363" t="n">
        <v>4</v>
      </c>
    </row>
    <row r="364">
      <c r="A364" s="3" t="n">
        <v>45894</v>
      </c>
      <c r="B364" s="4" t="n">
        <v>7126</v>
      </c>
      <c r="C364" t="n">
        <v>3.5</v>
      </c>
      <c r="D364" t="n">
        <v>4</v>
      </c>
    </row>
    <row r="365">
      <c r="A365" s="3" t="n">
        <v>45895</v>
      </c>
      <c r="B365" s="4" t="n">
        <v>7181</v>
      </c>
      <c r="C365" t="n">
        <v>0.77</v>
      </c>
      <c r="D365" t="n">
        <v>4</v>
      </c>
    </row>
    <row r="366">
      <c r="A366" s="3" t="n">
        <v>45896</v>
      </c>
      <c r="B366" s="4" t="n">
        <v>7282</v>
      </c>
      <c r="C366" t="n">
        <v>1.41</v>
      </c>
      <c r="D366" t="n">
        <v>4</v>
      </c>
    </row>
    <row r="367">
      <c r="A367" s="3" t="n">
        <v>45897</v>
      </c>
      <c r="B367" s="4" t="n">
        <v>7546</v>
      </c>
      <c r="C367" t="n">
        <v>3.63</v>
      </c>
      <c r="D367" t="n">
        <v>4</v>
      </c>
    </row>
    <row r="368">
      <c r="A368" s="3" t="n">
        <v>45898</v>
      </c>
      <c r="B368" s="4" t="n">
        <v>7254</v>
      </c>
      <c r="C368" t="n">
        <v>-3.87</v>
      </c>
      <c r="D368" t="n">
        <v>4</v>
      </c>
    </row>
    <row r="369">
      <c r="A369" s="3" t="n">
        <v>45901</v>
      </c>
      <c r="B369" s="4" t="n">
        <v>7118</v>
      </c>
      <c r="C369" t="n">
        <v>-1.87</v>
      </c>
      <c r="D369" t="n">
        <v>4</v>
      </c>
    </row>
    <row r="370">
      <c r="A370" s="3" t="n">
        <v>45902</v>
      </c>
      <c r="B370" s="4" t="n">
        <v>7018</v>
      </c>
      <c r="C370" t="n">
        <v>-1.4</v>
      </c>
      <c r="D370" t="n">
        <v>4</v>
      </c>
    </row>
    <row r="371">
      <c r="A371" s="3" t="n">
        <v>45903</v>
      </c>
      <c r="B371" s="4" t="n">
        <v>6921</v>
      </c>
      <c r="C371" t="n">
        <v>-1.38</v>
      </c>
      <c r="D371" t="n">
        <v>4</v>
      </c>
    </row>
    <row r="372">
      <c r="A372" s="3" t="n">
        <v>45904</v>
      </c>
      <c r="B372" s="4" t="n">
        <v>6690</v>
      </c>
      <c r="C372" t="n">
        <v>-3.34</v>
      </c>
      <c r="D372" t="n">
        <v>4</v>
      </c>
    </row>
    <row r="373">
      <c r="A373" s="3" t="n">
        <v>45905</v>
      </c>
      <c r="B373" s="4" t="n">
        <v>6704</v>
      </c>
      <c r="C373" t="n">
        <v>0.21</v>
      </c>
      <c r="D373" t="n">
        <v>4</v>
      </c>
    </row>
    <row r="374">
      <c r="A374" s="3" t="n">
        <v>45908</v>
      </c>
      <c r="B374" s="4" t="n">
        <v>6805</v>
      </c>
      <c r="C374" t="n">
        <v>1.51</v>
      </c>
      <c r="D374" t="n">
        <v>4</v>
      </c>
    </row>
    <row r="375">
      <c r="A375" s="3" t="n">
        <v>45909</v>
      </c>
      <c r="B375" s="4" t="n">
        <v>6819</v>
      </c>
      <c r="C375" t="n">
        <v>0.21</v>
      </c>
      <c r="D375" t="n">
        <v>4</v>
      </c>
    </row>
    <row r="376">
      <c r="A376" s="3" t="n">
        <v>45910</v>
      </c>
      <c r="B376" s="4" t="n">
        <v>6801</v>
      </c>
      <c r="C376" t="n">
        <v>-0.26</v>
      </c>
      <c r="D376" t="n">
        <v>4</v>
      </c>
    </row>
    <row r="377">
      <c r="A377" s="3" t="n">
        <v>45911</v>
      </c>
      <c r="B377" s="4" t="n">
        <v>6460</v>
      </c>
      <c r="C377" t="n">
        <v>-5.01</v>
      </c>
      <c r="D377" t="n">
        <v>4</v>
      </c>
    </row>
    <row r="378">
      <c r="A378" s="3" t="n">
        <v>45912</v>
      </c>
      <c r="B378" s="4" t="n">
        <v>6422</v>
      </c>
      <c r="C378" t="n">
        <v>-0.59</v>
      </c>
      <c r="D378" t="n">
        <v>4</v>
      </c>
    </row>
    <row r="379">
      <c r="A379" s="3" t="n">
        <v>45915</v>
      </c>
      <c r="B379" s="4" t="n">
        <v>6720</v>
      </c>
      <c r="C379" t="n">
        <v>4.64</v>
      </c>
      <c r="D379" t="n">
        <v>4</v>
      </c>
    </row>
    <row r="380">
      <c r="A380" s="3" t="n">
        <v>45916</v>
      </c>
      <c r="B380" s="4" t="n">
        <v>6923</v>
      </c>
      <c r="C380" t="n">
        <v>3.02</v>
      </c>
      <c r="D380" t="n">
        <v>4</v>
      </c>
    </row>
    <row r="381">
      <c r="A381" s="3" t="n">
        <v>45917</v>
      </c>
      <c r="B381" s="4" t="n">
        <v>6995</v>
      </c>
      <c r="C381" t="n">
        <v>1.04</v>
      </c>
      <c r="D381" t="n">
        <v>4</v>
      </c>
    </row>
    <row r="382">
      <c r="A382" s="3" t="n">
        <v>45918</v>
      </c>
      <c r="B382" s="4" t="n">
        <v>8125</v>
      </c>
      <c r="C382" t="n">
        <v>16.15</v>
      </c>
      <c r="D382" t="n">
        <v>4</v>
      </c>
    </row>
    <row r="383">
      <c r="A383" s="3" t="n">
        <v>45919</v>
      </c>
      <c r="B383" s="4" t="n">
        <v>8451</v>
      </c>
      <c r="C383" t="n">
        <v>4.01</v>
      </c>
      <c r="D383" t="n">
        <v>4</v>
      </c>
    </row>
    <row r="384">
      <c r="A384" s="3" t="n">
        <v>45922</v>
      </c>
      <c r="B384" s="4" t="n">
        <v>8426</v>
      </c>
      <c r="C384" t="n">
        <v>-0.3</v>
      </c>
      <c r="D384" t="n">
        <v>4</v>
      </c>
    </row>
    <row r="385">
      <c r="A385" s="3" t="n">
        <v>45923</v>
      </c>
      <c r="B385" s="4" t="n">
        <v>8442</v>
      </c>
      <c r="C385" t="n">
        <v>0.19</v>
      </c>
      <c r="D385" t="n">
        <v>4</v>
      </c>
    </row>
    <row r="386">
      <c r="A386" s="3" t="n">
        <v>45924</v>
      </c>
      <c r="B386" s="4" t="n">
        <v>8376</v>
      </c>
      <c r="C386" t="n">
        <v>-0.78</v>
      </c>
      <c r="D386" t="n">
        <v>4</v>
      </c>
    </row>
    <row r="387">
      <c r="A387" s="3" t="n">
        <v>45925</v>
      </c>
      <c r="B387" s="4" t="n">
        <v>8861</v>
      </c>
      <c r="C387" t="n">
        <v>5.79</v>
      </c>
      <c r="D387" t="n">
        <v>4</v>
      </c>
    </row>
    <row r="388">
      <c r="A388" s="3" t="n">
        <v>45926</v>
      </c>
      <c r="B388" s="4" t="n">
        <v>8962</v>
      </c>
      <c r="C388" t="n">
        <v>1.14</v>
      </c>
      <c r="D388" t="n">
        <v>4</v>
      </c>
    </row>
    <row r="389">
      <c r="A389" s="3" t="n">
        <v>45929</v>
      </c>
      <c r="B389" s="4" t="n">
        <v>8891</v>
      </c>
      <c r="C389" t="n">
        <v>-0.79</v>
      </c>
      <c r="D389" t="n">
        <v>4</v>
      </c>
    </row>
    <row r="390">
      <c r="A390" s="3" t="n">
        <v>45930</v>
      </c>
      <c r="B390" s="4" t="n">
        <v>8865</v>
      </c>
      <c r="C390" t="n">
        <v>-0.29</v>
      </c>
      <c r="D390" t="n">
        <v>4</v>
      </c>
    </row>
    <row r="391">
      <c r="A391" s="3" t="n">
        <v>45931</v>
      </c>
      <c r="B391" s="4" t="n">
        <v>8680</v>
      </c>
      <c r="C391" t="n">
        <v>-2.09</v>
      </c>
      <c r="D391" t="n">
        <v>4</v>
      </c>
    </row>
    <row r="392">
      <c r="A392" s="3" t="n">
        <v>45932</v>
      </c>
      <c r="B392" s="4" t="n">
        <v>8054</v>
      </c>
      <c r="C392" t="n">
        <v>-7.21</v>
      </c>
      <c r="D392" t="n">
        <v>4</v>
      </c>
    </row>
    <row r="393">
      <c r="A393" s="3" t="n">
        <v>45940</v>
      </c>
      <c r="B393" s="4" t="n">
        <v>7159</v>
      </c>
      <c r="C393" t="n">
        <v>-11.11</v>
      </c>
      <c r="D393" t="n">
        <v>4</v>
      </c>
    </row>
    <row r="394">
      <c r="A394" s="3" t="n">
        <v>45943</v>
      </c>
      <c r="B394" s="4" t="n">
        <v>6908</v>
      </c>
      <c r="C394" t="n">
        <v>-3.51</v>
      </c>
      <c r="D394" t="n">
        <v>4</v>
      </c>
    </row>
    <row r="395">
      <c r="A395" s="3" t="n">
        <v>45944</v>
      </c>
      <c r="B395" s="4" t="n">
        <v>6883</v>
      </c>
      <c r="C395" t="n">
        <v>-0.36</v>
      </c>
      <c r="D395" t="n">
        <v>4</v>
      </c>
    </row>
    <row r="396">
      <c r="A396" s="3" t="n">
        <v>45945</v>
      </c>
      <c r="B396" s="4" t="n">
        <v>6909</v>
      </c>
      <c r="C396" t="n">
        <v>0.38</v>
      </c>
      <c r="D396" t="n">
        <v>4</v>
      </c>
    </row>
    <row r="397">
      <c r="A397" s="3" t="n">
        <v>45946</v>
      </c>
      <c r="B397" s="4" t="n">
        <v>7127</v>
      </c>
      <c r="C397" t="n">
        <v>3.16</v>
      </c>
      <c r="D397" t="n">
        <v>4</v>
      </c>
    </row>
    <row r="398">
      <c r="A398" s="3" t="n">
        <v>45947</v>
      </c>
      <c r="B398" s="4" t="n">
        <v>7152</v>
      </c>
      <c r="C398" t="n">
        <v>0.35</v>
      </c>
      <c r="D398" t="n">
        <v>4</v>
      </c>
    </row>
    <row r="399">
      <c r="A399" s="3" t="n">
        <v>45950</v>
      </c>
      <c r="B399" s="4" t="n">
        <v>7199</v>
      </c>
      <c r="C399" t="n">
        <v>0.66</v>
      </c>
      <c r="D399" t="n">
        <v>4</v>
      </c>
    </row>
    <row r="400">
      <c r="A400" s="3" t="n">
        <v>45951</v>
      </c>
      <c r="B400" s="4" t="n">
        <v>7216</v>
      </c>
      <c r="C400" t="n">
        <v>0.24</v>
      </c>
      <c r="D400" t="n">
        <v>4</v>
      </c>
    </row>
    <row r="401">
      <c r="A401" s="3" t="n">
        <v>45952</v>
      </c>
      <c r="B401" s="4" t="n">
        <v>7198</v>
      </c>
      <c r="C401" t="n">
        <v>-0.25</v>
      </c>
      <c r="D401" t="n">
        <v>4</v>
      </c>
    </row>
    <row r="402">
      <c r="A402" s="3" t="n">
        <v>45953</v>
      </c>
      <c r="B402" s="4" t="n">
        <v>7661</v>
      </c>
      <c r="C402" t="n">
        <v>6.43</v>
      </c>
      <c r="D402" t="n">
        <v>4</v>
      </c>
    </row>
    <row r="403">
      <c r="A403" s="3" t="n">
        <v>45954</v>
      </c>
      <c r="B403" s="4" t="n">
        <v>7659</v>
      </c>
      <c r="C403" t="n">
        <v>-0.03</v>
      </c>
      <c r="D403" t="n">
        <v>4</v>
      </c>
    </row>
    <row r="404">
      <c r="A404" s="3" t="n">
        <v>45957</v>
      </c>
      <c r="B404" s="4" t="n">
        <v>7820</v>
      </c>
      <c r="C404" t="n">
        <v>2.1</v>
      </c>
      <c r="D404" t="n">
        <v>4</v>
      </c>
    </row>
    <row r="405">
      <c r="A405" s="3" t="n">
        <v>45958</v>
      </c>
      <c r="B405" s="4" t="n">
        <v>7807</v>
      </c>
      <c r="C405" t="n">
        <v>-0.17</v>
      </c>
      <c r="D405" t="n">
        <v>4</v>
      </c>
    </row>
    <row r="406">
      <c r="A406" s="3" t="n">
        <v>45959</v>
      </c>
      <c r="B406" s="4" t="n">
        <v>7983</v>
      </c>
      <c r="C406" t="n">
        <v>2.25</v>
      </c>
      <c r="D406" t="n">
        <v>4</v>
      </c>
    </row>
    <row r="407">
      <c r="A407" s="3" t="n">
        <v>45960</v>
      </c>
      <c r="B407" s="4" t="n">
        <v>7910</v>
      </c>
      <c r="C407" t="n">
        <v>-0.91</v>
      </c>
      <c r="D407" t="n">
        <v>4</v>
      </c>
    </row>
    <row r="408">
      <c r="A408" s="3" t="n">
        <v>45961</v>
      </c>
      <c r="B408" s="4" t="n">
        <v>8013</v>
      </c>
      <c r="C408" t="n">
        <v>1.3</v>
      </c>
      <c r="D408" t="n">
        <v>4</v>
      </c>
    </row>
    <row r="409">
      <c r="A409" s="3" t="n">
        <v>45964</v>
      </c>
      <c r="B409" s="4" t="n">
        <v>8269</v>
      </c>
      <c r="C409" t="n">
        <v>3.19</v>
      </c>
      <c r="D409" t="n">
        <v>4</v>
      </c>
    </row>
    <row r="410">
      <c r="A410" s="3" t="n">
        <v>45965</v>
      </c>
      <c r="B410" s="4" t="n">
        <v>8247</v>
      </c>
      <c r="C410" t="n">
        <v>-0.27</v>
      </c>
      <c r="D410" t="n">
        <v>4</v>
      </c>
    </row>
    <row r="411">
      <c r="A411" s="3" t="n">
        <v>45966</v>
      </c>
      <c r="B411" s="4" t="n">
        <v>8181</v>
      </c>
      <c r="C411" t="n">
        <v>-0.8</v>
      </c>
      <c r="D411" t="n">
        <v>4</v>
      </c>
    </row>
    <row r="412">
      <c r="A412" s="3" t="n">
        <v>45967</v>
      </c>
      <c r="B412" s="4" t="n">
        <v>8518</v>
      </c>
      <c r="C412" t="n">
        <v>4.12</v>
      </c>
      <c r="D412" t="n">
        <v>4</v>
      </c>
    </row>
    <row r="413">
      <c r="A413" s="3" t="n">
        <v>45968</v>
      </c>
      <c r="B413" s="4" t="n">
        <v>8512</v>
      </c>
      <c r="C413" t="n">
        <v>-0.07000000000000001</v>
      </c>
      <c r="D413" t="n">
        <v>4</v>
      </c>
    </row>
    <row r="414">
      <c r="A414" s="3" t="n">
        <v>45971</v>
      </c>
      <c r="B414" s="4" t="n">
        <v>8400</v>
      </c>
      <c r="C414" t="n">
        <v>-1.32</v>
      </c>
      <c r="D414" t="n">
        <v>4</v>
      </c>
    </row>
    <row r="415">
      <c r="A415" s="3" t="n">
        <v>45972</v>
      </c>
      <c r="B415" s="4" t="n">
        <v>8391</v>
      </c>
      <c r="C415" t="n">
        <v>-0.11</v>
      </c>
      <c r="D415" t="n">
        <v>4</v>
      </c>
    </row>
    <row r="416">
      <c r="A416" s="3" t="n">
        <v>45973</v>
      </c>
      <c r="B416" s="4" t="n">
        <v>8348</v>
      </c>
      <c r="C416" t="n">
        <v>-0.51</v>
      </c>
      <c r="D416" t="n">
        <v>4</v>
      </c>
    </row>
    <row r="417">
      <c r="A417" s="3" t="n">
        <v>45974</v>
      </c>
      <c r="B417" s="4" t="n">
        <v>8214</v>
      </c>
      <c r="C417" t="n">
        <v>-1.61</v>
      </c>
      <c r="D417" t="n">
        <v>4</v>
      </c>
    </row>
    <row r="418">
      <c r="A418" s="3" t="n">
        <v>45975</v>
      </c>
      <c r="B418" s="4" t="n">
        <v>8257</v>
      </c>
      <c r="C418" t="n">
        <v>0.52</v>
      </c>
      <c r="D418" t="n">
        <v>4</v>
      </c>
    </row>
    <row r="419">
      <c r="A419" s="3" t="n">
        <v>45978</v>
      </c>
      <c r="B419" s="4" t="n">
        <v>8281</v>
      </c>
      <c r="C419" t="n">
        <v>0.29</v>
      </c>
      <c r="D419" t="n">
        <v>4</v>
      </c>
    </row>
    <row r="420">
      <c r="A420" s="3" t="n">
        <v>45979</v>
      </c>
      <c r="B420" s="4" t="n">
        <v>8184</v>
      </c>
      <c r="C420" t="n">
        <v>-1.17</v>
      </c>
      <c r="D420" t="n">
        <v>4</v>
      </c>
    </row>
    <row r="421">
      <c r="A421" s="3" t="n">
        <v>45980</v>
      </c>
      <c r="B421" s="4" t="n">
        <v>8148</v>
      </c>
      <c r="C421" t="n">
        <v>-0.44</v>
      </c>
      <c r="D421" t="n">
        <v>4</v>
      </c>
    </row>
    <row r="422">
      <c r="A422" s="3" t="n">
        <v>45981</v>
      </c>
      <c r="B422" s="4" t="n">
        <v>7599</v>
      </c>
      <c r="C422" t="n">
        <v>-6.74</v>
      </c>
      <c r="D422" t="n">
        <v>4</v>
      </c>
    </row>
    <row r="423">
      <c r="A423" s="3" t="n">
        <v>45982</v>
      </c>
      <c r="B423" s="4" t="n">
        <v>7596</v>
      </c>
      <c r="C423" t="n">
        <v>-0.04</v>
      </c>
      <c r="D423" t="n">
        <v>4</v>
      </c>
    </row>
    <row r="424">
      <c r="A424" s="3" t="n">
        <v>45985</v>
      </c>
      <c r="B424" s="4" t="n">
        <v>7532</v>
      </c>
      <c r="C424" t="n">
        <v>-0.84</v>
      </c>
      <c r="D424" t="n">
        <v>4</v>
      </c>
    </row>
    <row r="425">
      <c r="A425" s="3" t="n">
        <v>45986</v>
      </c>
      <c r="B425" s="4" t="n">
        <v>7421</v>
      </c>
      <c r="C425" t="n">
        <v>-1.47</v>
      </c>
      <c r="D425" t="n">
        <v>4</v>
      </c>
    </row>
    <row r="426">
      <c r="A426" s="3" t="n">
        <v>45987</v>
      </c>
      <c r="B426" s="4" t="n">
        <v>7361</v>
      </c>
      <c r="C426" t="n">
        <v>-0.8100000000000001</v>
      </c>
      <c r="D426" t="n">
        <v>4</v>
      </c>
    </row>
    <row r="427">
      <c r="A427" s="3" t="n">
        <v>45988</v>
      </c>
      <c r="B427" s="4" t="n">
        <v>6589</v>
      </c>
      <c r="C427" t="n">
        <v>-10.49</v>
      </c>
      <c r="D427" t="n">
        <v>4</v>
      </c>
    </row>
    <row r="428">
      <c r="A428" s="3" t="n">
        <v>45989</v>
      </c>
      <c r="B428" s="4" t="n">
        <v>6643</v>
      </c>
      <c r="C428" t="n">
        <v>0.82</v>
      </c>
      <c r="D428" t="n">
        <v>4</v>
      </c>
    </row>
    <row r="429">
      <c r="A429" s="3" t="n">
        <v>45992</v>
      </c>
      <c r="B429" s="4" t="n">
        <v>6477</v>
      </c>
      <c r="C429" t="n">
        <v>-2.5</v>
      </c>
      <c r="D429" t="n">
        <v>4</v>
      </c>
    </row>
    <row r="430">
      <c r="A430" s="3" t="n">
        <v>45993</v>
      </c>
      <c r="B430" s="4" t="n">
        <v>6384</v>
      </c>
      <c r="C430" t="n">
        <v>-1.44</v>
      </c>
      <c r="D430" t="n">
        <v>4</v>
      </c>
    </row>
    <row r="431">
      <c r="A431" s="3" t="n">
        <v>45994</v>
      </c>
      <c r="B431" s="4" t="n">
        <v>6338</v>
      </c>
      <c r="C431" t="n">
        <v>-0.72</v>
      </c>
      <c r="D431" t="n">
        <v>4</v>
      </c>
    </row>
    <row r="432">
      <c r="A432" s="3" t="n">
        <v>45995</v>
      </c>
      <c r="B432" s="4" t="n">
        <v>6253</v>
      </c>
      <c r="C432" t="n">
        <v>-1.34</v>
      </c>
      <c r="D432" t="n">
        <v>4</v>
      </c>
    </row>
    <row r="433">
      <c r="A433" s="3" t="n">
        <v>45999</v>
      </c>
      <c r="B433" s="4" t="n">
        <v>6118</v>
      </c>
      <c r="C433" t="n">
        <v>-2.16</v>
      </c>
      <c r="D433" t="n">
        <v>4</v>
      </c>
    </row>
    <row r="434">
      <c r="A434" s="3" t="n">
        <v>46000</v>
      </c>
      <c r="B434" s="4" t="n">
        <v>6062</v>
      </c>
      <c r="C434" t="n">
        <v>-0.92</v>
      </c>
      <c r="D434" t="n">
        <v>4</v>
      </c>
    </row>
    <row r="435">
      <c r="A435" s="3" t="n">
        <v>46001</v>
      </c>
      <c r="B435" s="4" t="n">
        <v>6004</v>
      </c>
      <c r="C435" t="n">
        <v>-0.96</v>
      </c>
      <c r="D435" t="n">
        <v>4</v>
      </c>
    </row>
    <row r="436">
      <c r="A436" s="3" t="n">
        <v>46002</v>
      </c>
      <c r="B436" s="4" t="n">
        <v>6235</v>
      </c>
      <c r="C436" t="n">
        <v>3.85</v>
      </c>
      <c r="D436" t="n">
        <v>4</v>
      </c>
    </row>
    <row r="437">
      <c r="A437" s="3" t="n">
        <v>46003</v>
      </c>
      <c r="B437" s="4" t="n">
        <v>6212</v>
      </c>
      <c r="C437" t="n">
        <v>-0.37</v>
      </c>
      <c r="D437" t="n">
        <v>4</v>
      </c>
    </row>
    <row r="438">
      <c r="A438" s="3" t="n">
        <v>46006</v>
      </c>
      <c r="B438" s="4" t="n">
        <v>6277</v>
      </c>
      <c r="C438" t="n">
        <v>1.05</v>
      </c>
      <c r="D438" t="n">
        <v>4</v>
      </c>
    </row>
    <row r="439">
      <c r="A439" s="3" t="n">
        <v>46007</v>
      </c>
      <c r="B439" s="4" t="n">
        <v>6283</v>
      </c>
      <c r="C439" t="n">
        <v>0.1</v>
      </c>
      <c r="D439" t="n">
        <v>4</v>
      </c>
    </row>
    <row r="440">
      <c r="A440" s="3" t="n">
        <v>46008</v>
      </c>
      <c r="B440" s="4" t="n">
        <v>6279</v>
      </c>
      <c r="C440" t="n">
        <v>-0.06</v>
      </c>
      <c r="D440" t="n">
        <v>4</v>
      </c>
    </row>
    <row r="441">
      <c r="A441" s="3" t="n">
        <v>46009</v>
      </c>
      <c r="B441" s="4" t="n">
        <v>6107</v>
      </c>
      <c r="C441" t="n">
        <v>-2.74</v>
      </c>
      <c r="D441" t="n">
        <v>4</v>
      </c>
    </row>
    <row r="442">
      <c r="A442" s="3" t="n">
        <v>46010</v>
      </c>
      <c r="B442" s="4" t="n">
        <v>6114</v>
      </c>
      <c r="C442" t="n">
        <v>0.11</v>
      </c>
      <c r="D442" t="n">
        <v>4</v>
      </c>
    </row>
    <row r="443">
      <c r="A443" s="3" t="n">
        <v>46022</v>
      </c>
      <c r="B443" s="4" t="n">
        <v>6625</v>
      </c>
      <c r="C443" t="n">
        <v>0</v>
      </c>
      <c r="D443" t="n">
        <v>5</v>
      </c>
    </row>
    <row r="444">
      <c r="A444" s="3" t="n">
        <v>46024</v>
      </c>
      <c r="B444" s="4" t="n">
        <v>6359</v>
      </c>
      <c r="C444" t="n">
        <v>-4.02</v>
      </c>
      <c r="D444" t="n">
        <v>5</v>
      </c>
    </row>
    <row r="445">
      <c r="A445" s="3" t="n">
        <v>46027</v>
      </c>
      <c r="B445" s="4" t="n">
        <v>6351</v>
      </c>
      <c r="C445" t="n">
        <v>-0.13</v>
      </c>
      <c r="D445" t="n">
        <v>5</v>
      </c>
    </row>
    <row r="446">
      <c r="A446" s="3" t="n">
        <v>46028</v>
      </c>
      <c r="B446" s="4" t="n">
        <v>6318</v>
      </c>
      <c r="C446" t="n">
        <v>-0.52</v>
      </c>
      <c r="D446" t="n">
        <v>5</v>
      </c>
    </row>
    <row r="447">
      <c r="A447" s="3" t="n">
        <v>46029</v>
      </c>
      <c r="B447" s="4" t="n">
        <v>6263</v>
      </c>
      <c r="C447" t="n">
        <v>-0.87</v>
      </c>
      <c r="D447" t="n">
        <v>5</v>
      </c>
    </row>
    <row r="448">
      <c r="A448" s="3" t="n">
        <v>46030</v>
      </c>
      <c r="B448" s="4" t="n">
        <v>6246</v>
      </c>
      <c r="C448" t="n">
        <v>-0.27</v>
      </c>
      <c r="D448" t="n">
        <v>5</v>
      </c>
    </row>
    <row r="449">
      <c r="A449" s="3" t="n">
        <v>46031</v>
      </c>
      <c r="B449" s="4" t="n">
        <v>6177</v>
      </c>
      <c r="C449" t="n">
        <v>-1.1</v>
      </c>
      <c r="D449" t="n">
        <v>5</v>
      </c>
    </row>
    <row r="450">
      <c r="A450" s="3" t="n">
        <v>46034</v>
      </c>
      <c r="B450" s="4" t="n">
        <v>6160</v>
      </c>
      <c r="C450" t="n">
        <v>-0.28</v>
      </c>
      <c r="D450" t="n">
        <v>5</v>
      </c>
    </row>
    <row r="451">
      <c r="A451" s="3" t="n">
        <v>46035</v>
      </c>
      <c r="B451" s="4" t="n">
        <v>6077</v>
      </c>
      <c r="C451" t="n">
        <v>-1.35</v>
      </c>
      <c r="D451" t="n">
        <v>5</v>
      </c>
    </row>
    <row r="452">
      <c r="A452" s="3" t="n">
        <v>46036</v>
      </c>
      <c r="B452" s="4" t="n">
        <v>6068</v>
      </c>
      <c r="C452" t="n">
        <v>-0.15</v>
      </c>
      <c r="D452" t="n">
        <v>5</v>
      </c>
    </row>
    <row r="453">
      <c r="A453" s="3" t="n">
        <v>46037</v>
      </c>
      <c r="B453" s="4" t="n">
        <v>5567</v>
      </c>
      <c r="C453" t="n">
        <v>-8.26</v>
      </c>
      <c r="D453" t="n">
        <v>5</v>
      </c>
    </row>
    <row r="454">
      <c r="A454" s="3" t="n">
        <v>46038</v>
      </c>
      <c r="B454" s="4" t="n">
        <v>5545</v>
      </c>
      <c r="C454" t="n">
        <v>-0.4</v>
      </c>
      <c r="D454" t="n">
        <v>5</v>
      </c>
    </row>
    <row r="455">
      <c r="A455" s="3" t="n">
        <v>46041</v>
      </c>
      <c r="B455" s="4" t="n">
        <v>5502</v>
      </c>
      <c r="C455" t="n">
        <v>-0.78</v>
      </c>
      <c r="D455" t="n">
        <v>5</v>
      </c>
    </row>
    <row r="456">
      <c r="A456" s="3" t="n">
        <v>46042</v>
      </c>
      <c r="B456" s="4" t="n">
        <v>5525</v>
      </c>
      <c r="C456" t="n">
        <v>0.42</v>
      </c>
      <c r="D456" t="n">
        <v>5</v>
      </c>
    </row>
    <row r="457">
      <c r="A457" s="3" t="n">
        <v>46043</v>
      </c>
      <c r="B457" s="4" t="n">
        <v>5544</v>
      </c>
      <c r="C457" t="n">
        <v>0.34</v>
      </c>
      <c r="D457" t="n">
        <v>5</v>
      </c>
    </row>
    <row r="458">
      <c r="A458" s="3" t="n">
        <v>46044</v>
      </c>
      <c r="B458" s="4" t="n">
        <v>5505</v>
      </c>
      <c r="C458" t="n">
        <v>-0.7</v>
      </c>
      <c r="D458" t="n">
        <v>5</v>
      </c>
    </row>
    <row r="459">
      <c r="A459" s="3" t="n">
        <v>46045</v>
      </c>
      <c r="B459" s="4" t="n">
        <v>5510</v>
      </c>
      <c r="C459" t="n">
        <v>0.09</v>
      </c>
      <c r="D459" t="n">
        <v>5</v>
      </c>
    </row>
    <row r="460">
      <c r="A460" s="3" t="n">
        <v>46048</v>
      </c>
      <c r="B460" s="4" t="n">
        <v>5493</v>
      </c>
      <c r="C460" t="n">
        <v>-0.31</v>
      </c>
      <c r="D460" t="n">
        <v>5</v>
      </c>
    </row>
    <row r="461">
      <c r="A461" s="3" t="n">
        <v>46049</v>
      </c>
      <c r="B461" s="4" t="n">
        <v>5507</v>
      </c>
      <c r="C461" t="n">
        <v>0.25</v>
      </c>
      <c r="D461" t="n">
        <v>5</v>
      </c>
    </row>
    <row r="462">
      <c r="A462" s="3" t="n">
        <v>46050</v>
      </c>
      <c r="B462" s="4" t="n">
        <v>5558</v>
      </c>
      <c r="C462" t="n">
        <v>0.93</v>
      </c>
      <c r="D462" t="n">
        <v>5</v>
      </c>
    </row>
    <row r="463">
      <c r="A463" s="3" t="n">
        <v>46051</v>
      </c>
      <c r="B463" s="4" t="n">
        <v>5635</v>
      </c>
      <c r="C463" t="n">
        <v>1.39</v>
      </c>
      <c r="D463" t="n">
        <v>5</v>
      </c>
    </row>
    <row r="464">
      <c r="A464" s="3" t="n">
        <v>46052</v>
      </c>
      <c r="B464" s="4" t="n">
        <v>5638</v>
      </c>
      <c r="C464" t="n">
        <v>0.05</v>
      </c>
      <c r="D464" t="n">
        <v>5</v>
      </c>
    </row>
    <row r="465">
      <c r="A465" s="3" t="n">
        <v>46055</v>
      </c>
      <c r="B465" s="4" t="n">
        <v>5732</v>
      </c>
      <c r="C465" t="n">
        <v>1.67</v>
      </c>
      <c r="D465" t="n">
        <v>5</v>
      </c>
    </row>
    <row r="466">
      <c r="A466" s="3" t="n">
        <v>46056</v>
      </c>
      <c r="B466" s="4" t="n">
        <v>5773</v>
      </c>
      <c r="C466" t="n">
        <v>0.72</v>
      </c>
      <c r="D466" t="n">
        <v>5</v>
      </c>
    </row>
    <row r="467">
      <c r="A467" s="3" t="n">
        <v>46057</v>
      </c>
      <c r="B467" s="4" t="n">
        <v>5784</v>
      </c>
      <c r="C467" t="n">
        <v>0.19</v>
      </c>
      <c r="D467" t="n">
        <v>5</v>
      </c>
    </row>
    <row r="468">
      <c r="A468" s="3" t="n">
        <v>46058</v>
      </c>
      <c r="B468" s="4" t="n">
        <v>5835</v>
      </c>
      <c r="C468" t="n">
        <v>0.88</v>
      </c>
      <c r="D468" t="n">
        <v>5</v>
      </c>
    </row>
    <row r="469">
      <c r="A469" s="3" t="n">
        <v>46059</v>
      </c>
      <c r="B469" s="4" t="n">
        <v>5817</v>
      </c>
      <c r="C469" t="n">
        <v>-0.31</v>
      </c>
      <c r="D469" t="n">
        <v>5</v>
      </c>
    </row>
    <row r="470">
      <c r="A470" s="3" t="n">
        <v>46062</v>
      </c>
      <c r="B470" s="4" t="n">
        <v>5809</v>
      </c>
      <c r="C470" t="n">
        <v>-0.14</v>
      </c>
      <c r="D470" t="n">
        <v>5</v>
      </c>
    </row>
    <row r="471">
      <c r="A471" s="3" t="n">
        <v>46063</v>
      </c>
      <c r="B471" s="4" t="n">
        <v>5816</v>
      </c>
      <c r="C471" t="n">
        <v>0.12</v>
      </c>
      <c r="D471" t="n">
        <v>5</v>
      </c>
    </row>
    <row r="472">
      <c r="A472" s="3" t="n">
        <v>46064</v>
      </c>
      <c r="B472" s="4" t="n">
        <v>5841</v>
      </c>
      <c r="C472" t="n">
        <v>0.43</v>
      </c>
      <c r="D472" t="n">
        <v>5</v>
      </c>
    </row>
    <row r="473">
      <c r="A473" s="3" t="n">
        <v>46065</v>
      </c>
      <c r="B473" s="4" t="n">
        <v>5762</v>
      </c>
      <c r="C473" t="n">
        <v>-1.35</v>
      </c>
      <c r="D473" t="n">
        <v>5</v>
      </c>
    </row>
    <row r="474">
      <c r="A474" s="3" t="n">
        <v>46066</v>
      </c>
      <c r="B474" s="4" t="n">
        <v>5742</v>
      </c>
      <c r="C474" t="n">
        <v>-0.35</v>
      </c>
      <c r="D474" t="n">
        <v>5</v>
      </c>
    </row>
    <row r="475">
      <c r="A475" s="3" t="n">
        <v>46072</v>
      </c>
      <c r="B475" s="4" t="n">
        <v>5736</v>
      </c>
      <c r="C475" t="n">
        <v>-0.1</v>
      </c>
      <c r="D475" t="n">
        <v>5</v>
      </c>
    </row>
    <row r="476">
      <c r="A476" s="3" t="n">
        <v>46073</v>
      </c>
      <c r="B476" s="4" t="n">
        <v>5711</v>
      </c>
      <c r="C476" t="n">
        <v>-0.44</v>
      </c>
      <c r="D476" t="n">
        <v>5</v>
      </c>
    </row>
    <row r="477">
      <c r="A477" s="3" t="n">
        <v>46076</v>
      </c>
      <c r="B477" s="4" t="n">
        <v>5703</v>
      </c>
      <c r="C477" t="n">
        <v>-0.14</v>
      </c>
      <c r="D477" t="n">
        <v>5</v>
      </c>
    </row>
    <row r="478">
      <c r="A478" s="3" t="n">
        <v>46077</v>
      </c>
      <c r="B478" s="4" t="n">
        <v>5657</v>
      </c>
      <c r="C478" t="n">
        <v>-0.8100000000000001</v>
      </c>
      <c r="D478" t="n">
        <v>5</v>
      </c>
    </row>
    <row r="479">
      <c r="A479" s="3" t="n">
        <v>46078</v>
      </c>
      <c r="B479" s="4" t="n">
        <v>5645</v>
      </c>
      <c r="C479" t="n">
        <v>-0.21</v>
      </c>
      <c r="D479" t="n">
        <v>5</v>
      </c>
    </row>
    <row r="480">
      <c r="A480" s="3" t="n">
        <v>46079</v>
      </c>
      <c r="B480" s="4" t="n">
        <v>5461</v>
      </c>
      <c r="C480" t="n">
        <v>-3.26</v>
      </c>
      <c r="D480" t="n">
        <v>5</v>
      </c>
    </row>
    <row r="481">
      <c r="A481" s="3" t="n">
        <v>46080</v>
      </c>
      <c r="B481" s="4" t="n">
        <v>5252</v>
      </c>
      <c r="C481" t="n">
        <v>-3.83</v>
      </c>
      <c r="D481" t="n">
        <v>5</v>
      </c>
    </row>
    <row r="482">
      <c r="A482" s="3" t="n">
        <v>46084</v>
      </c>
      <c r="B482" s="4" t="n">
        <v>5255</v>
      </c>
      <c r="C482" t="n">
        <v>0.06</v>
      </c>
      <c r="D482" t="n">
        <v>5</v>
      </c>
    </row>
    <row r="483">
      <c r="A483" s="3" t="n">
        <v>46085</v>
      </c>
      <c r="B483" s="4" t="n">
        <v>5134</v>
      </c>
      <c r="C483" t="n">
        <v>-2.3</v>
      </c>
      <c r="D483" t="n">
        <v>5</v>
      </c>
    </row>
    <row r="484">
      <c r="A484" s="3" t="n">
        <v>46086</v>
      </c>
      <c r="B484" s="4" t="n">
        <v>4994</v>
      </c>
      <c r="C484" t="n">
        <v>-2.73</v>
      </c>
      <c r="D484" t="n">
        <v>5</v>
      </c>
    </row>
    <row r="485">
      <c r="A485" s="3" t="n">
        <v>46087</v>
      </c>
      <c r="B485" s="4" t="n">
        <v>4991</v>
      </c>
      <c r="C485" t="n">
        <v>-0.06</v>
      </c>
      <c r="D485" t="n">
        <v>5</v>
      </c>
    </row>
    <row r="486">
      <c r="A486" s="3" t="n">
        <v>46090</v>
      </c>
      <c r="B486" s="4" t="n">
        <v>5021</v>
      </c>
      <c r="C486" t="n">
        <v>0.6</v>
      </c>
      <c r="D486" t="n">
        <v>5</v>
      </c>
    </row>
    <row r="487">
      <c r="A487" s="3" t="n">
        <v>46091</v>
      </c>
      <c r="B487" s="4" t="n">
        <v>5050</v>
      </c>
      <c r="C487" t="n">
        <v>0.58</v>
      </c>
      <c r="D487" t="n">
        <v>5</v>
      </c>
    </row>
    <row r="488">
      <c r="A488" s="3" t="n">
        <v>46092</v>
      </c>
      <c r="B488" s="4" t="n">
        <v>5070</v>
      </c>
      <c r="C488" t="n">
        <v>0.4</v>
      </c>
      <c r="D488" t="n">
        <v>5</v>
      </c>
    </row>
    <row r="489">
      <c r="A489" s="3" t="n">
        <v>46093</v>
      </c>
      <c r="B489" s="4" t="n">
        <v>5152</v>
      </c>
      <c r="C489" t="n">
        <v>1.62</v>
      </c>
      <c r="D489" t="n">
        <v>5</v>
      </c>
    </row>
    <row r="490">
      <c r="A490" s="3" t="n">
        <v>46094</v>
      </c>
      <c r="B490" s="4" t="n">
        <v>5200</v>
      </c>
      <c r="C490" t="n">
        <v>0.93</v>
      </c>
      <c r="D490" t="n">
        <v>5</v>
      </c>
    </row>
    <row r="491">
      <c r="A491" s="3" t="n">
        <v>46097</v>
      </c>
      <c r="B491" s="4" t="n">
        <v>5223</v>
      </c>
      <c r="C491" t="n">
        <v>0.44</v>
      </c>
      <c r="D491" t="n">
        <v>5</v>
      </c>
    </row>
    <row r="492">
      <c r="A492" s="3" t="n">
        <v>46098</v>
      </c>
      <c r="B492" s="4" t="n">
        <v>5222</v>
      </c>
      <c r="C492" t="n">
        <v>-0.02</v>
      </c>
      <c r="D492" t="n">
        <v>5</v>
      </c>
    </row>
    <row r="493">
      <c r="A493" s="3" t="n">
        <v>46099</v>
      </c>
      <c r="B493" s="4" t="n">
        <v>5224</v>
      </c>
      <c r="C493" t="n">
        <v>0.04</v>
      </c>
      <c r="D493" t="n">
        <v>5</v>
      </c>
    </row>
    <row r="494">
      <c r="A494" s="3" t="n">
        <v>46100</v>
      </c>
      <c r="B494" s="4" t="n">
        <v>5412</v>
      </c>
      <c r="C494" t="n">
        <v>3.6</v>
      </c>
      <c r="D494" t="n">
        <v>5</v>
      </c>
    </row>
    <row r="495">
      <c r="A495" s="3" t="n">
        <v>46101</v>
      </c>
      <c r="B495" s="4" t="n">
        <v>5441</v>
      </c>
      <c r="C495" t="n">
        <v>0.54</v>
      </c>
      <c r="D495" t="n">
        <v>5</v>
      </c>
    </row>
    <row r="496">
      <c r="A496" s="3" t="n">
        <v>46104</v>
      </c>
      <c r="B496" s="4" t="n">
        <v>5418</v>
      </c>
      <c r="C496" t="n">
        <v>-0.42</v>
      </c>
      <c r="D496" t="n">
        <v>5</v>
      </c>
    </row>
    <row r="497">
      <c r="A497" s="3" t="n">
        <v>46105</v>
      </c>
      <c r="B497" s="4" t="n">
        <v>5399</v>
      </c>
      <c r="C497" t="n">
        <v>-0.35</v>
      </c>
      <c r="D497" t="n">
        <v>5</v>
      </c>
    </row>
    <row r="498">
      <c r="A498" s="3" t="n">
        <v>46106</v>
      </c>
      <c r="B498" s="4" t="n">
        <v>5399</v>
      </c>
      <c r="C498" t="n">
        <v>0</v>
      </c>
      <c r="D498" t="n">
        <v>5</v>
      </c>
    </row>
    <row r="499">
      <c r="A499" s="3" t="n">
        <v>46107</v>
      </c>
      <c r="B499" s="4" t="n">
        <v>5364</v>
      </c>
      <c r="C499" t="n">
        <v>-0.65</v>
      </c>
      <c r="D499" t="n">
        <v>5</v>
      </c>
    </row>
    <row r="500">
      <c r="A500" s="3" t="n">
        <v>46108</v>
      </c>
      <c r="B500" s="4" t="n">
        <v>5309</v>
      </c>
      <c r="C500" t="n">
        <v>-1.03</v>
      </c>
      <c r="D500" t="n">
        <v>5</v>
      </c>
    </row>
    <row r="501">
      <c r="A501" s="3" t="n">
        <v>46111</v>
      </c>
      <c r="B501" s="4" t="n">
        <v>5331</v>
      </c>
      <c r="C501" t="n">
        <v>0.41</v>
      </c>
      <c r="D501" t="n">
        <v>5</v>
      </c>
    </row>
    <row r="502">
      <c r="A502" s="3" t="n">
        <v>46112</v>
      </c>
      <c r="B502" s="4" t="n">
        <v>5282</v>
      </c>
      <c r="C502" t="n">
        <v>-0.92</v>
      </c>
      <c r="D502" t="n">
        <v>5</v>
      </c>
    </row>
    <row r="503">
      <c r="A503" s="3" t="n">
        <v>46113</v>
      </c>
      <c r="B503" s="4" t="n">
        <v>5306</v>
      </c>
      <c r="C503" t="n">
        <v>0.45</v>
      </c>
      <c r="D503" t="n">
        <v>5</v>
      </c>
    </row>
    <row r="504">
      <c r="A504" s="3" t="n">
        <v>46114</v>
      </c>
      <c r="B504" s="4" t="n">
        <v>5234</v>
      </c>
      <c r="C504" t="n">
        <v>-1.36</v>
      </c>
      <c r="D504" t="n">
        <v>5</v>
      </c>
    </row>
    <row r="505">
      <c r="A505" s="3" t="n">
        <v>46115</v>
      </c>
      <c r="B505" s="4" t="n">
        <v>5196</v>
      </c>
      <c r="C505" t="n">
        <v>-0.73</v>
      </c>
      <c r="D505" t="n">
        <v>5</v>
      </c>
    </row>
    <row r="506">
      <c r="A506" s="3" t="n">
        <v>46118</v>
      </c>
      <c r="B506" s="4" t="n">
        <v>4907</v>
      </c>
      <c r="C506" t="n">
        <v>-5.56</v>
      </c>
      <c r="D506" t="n">
        <v>5</v>
      </c>
    </row>
    <row r="507">
      <c r="A507" s="3" t="n">
        <v>46119</v>
      </c>
      <c r="B507" s="4" t="n">
        <v>4918</v>
      </c>
      <c r="C507" t="n">
        <v>0.22</v>
      </c>
      <c r="D507" t="n">
        <v>5</v>
      </c>
    </row>
    <row r="508">
      <c r="A508" s="3" t="n">
        <v>46120</v>
      </c>
      <c r="B508" s="4" t="n">
        <v>4851</v>
      </c>
      <c r="C508" t="n">
        <v>-1.36</v>
      </c>
      <c r="D508" t="n">
        <v>5</v>
      </c>
    </row>
    <row r="509">
      <c r="A509" s="3" t="n">
        <v>46121</v>
      </c>
      <c r="B509" s="4" t="n">
        <v>4618</v>
      </c>
      <c r="C509" t="n">
        <v>-4.8</v>
      </c>
      <c r="D509" t="n">
        <v>5</v>
      </c>
    </row>
    <row r="510">
      <c r="A510" s="3" t="n">
        <v>46122</v>
      </c>
      <c r="B510" s="4" t="n">
        <v>4620</v>
      </c>
      <c r="C510" t="n">
        <v>0.04</v>
      </c>
      <c r="D510" t="n">
        <v>5</v>
      </c>
    </row>
    <row r="511">
      <c r="A511" s="3" t="n">
        <v>46125</v>
      </c>
      <c r="B511" s="4" t="n">
        <v>4629</v>
      </c>
      <c r="C511" t="n">
        <v>0.19</v>
      </c>
      <c r="D511" t="n">
        <v>5</v>
      </c>
    </row>
    <row r="512">
      <c r="A512" s="3" t="n">
        <v>46126</v>
      </c>
      <c r="B512" s="4" t="n">
        <v>4589</v>
      </c>
      <c r="C512" t="n">
        <v>-0.86</v>
      </c>
      <c r="D512" t="n">
        <v>5</v>
      </c>
    </row>
    <row r="513">
      <c r="A513" s="3" t="n">
        <v>46127</v>
      </c>
      <c r="B513" s="4" t="n">
        <v>4574</v>
      </c>
      <c r="C513" t="n">
        <v>-0.33</v>
      </c>
      <c r="D513" t="n">
        <v>5</v>
      </c>
    </row>
    <row r="514">
      <c r="A514" s="3" t="n">
        <v>46128</v>
      </c>
      <c r="B514" s="4" t="n">
        <v>4720</v>
      </c>
      <c r="C514" t="n">
        <v>3.19</v>
      </c>
      <c r="D514" t="n">
        <v>5</v>
      </c>
    </row>
    <row r="515">
      <c r="A515" s="3" t="n">
        <v>46129</v>
      </c>
      <c r="B515" s="4" t="n">
        <v>4718</v>
      </c>
      <c r="C515" t="n">
        <v>-0.04</v>
      </c>
      <c r="D515" t="n">
        <v>5</v>
      </c>
    </row>
    <row r="516">
      <c r="A516" s="3" t="n">
        <v>46132</v>
      </c>
      <c r="B516" s="4" t="n">
        <v>4817</v>
      </c>
      <c r="C516" t="n">
        <v>2.1</v>
      </c>
      <c r="D516" t="n">
        <v>5</v>
      </c>
    </row>
    <row r="517">
      <c r="A517" s="3" t="n">
        <v>46133</v>
      </c>
      <c r="B517" s="4" t="n">
        <v>5062</v>
      </c>
      <c r="C517" t="n">
        <v>5.09</v>
      </c>
      <c r="D517" t="n">
        <v>5</v>
      </c>
    </row>
    <row r="518">
      <c r="A518" s="3" t="n">
        <v>46134</v>
      </c>
      <c r="B518" s="4" t="n">
        <v>5069</v>
      </c>
      <c r="C518" t="n">
        <v>0.14</v>
      </c>
      <c r="D518" t="n">
        <v>5</v>
      </c>
    </row>
    <row r="519">
      <c r="A519" s="3" t="n">
        <v>46135</v>
      </c>
      <c r="B519" s="4" t="n">
        <v>4606</v>
      </c>
      <c r="C519" t="n">
        <v>-9.130000000000001</v>
      </c>
      <c r="D519" t="n">
        <v>5</v>
      </c>
    </row>
    <row r="520">
      <c r="A520" s="3" t="n">
        <v>46136</v>
      </c>
      <c r="B520" s="4" t="n">
        <v>4568</v>
      </c>
      <c r="C520" t="n">
        <v>-0.83</v>
      </c>
      <c r="D520" t="n">
        <v>5</v>
      </c>
    </row>
    <row r="521">
      <c r="A521" s="3" t="n">
        <v>46139</v>
      </c>
      <c r="B521" s="4" t="n">
        <v>4543</v>
      </c>
      <c r="C521" t="n">
        <v>-0.55</v>
      </c>
      <c r="D521" t="n">
        <v>5</v>
      </c>
    </row>
    <row r="522">
      <c r="A522" s="3" t="n">
        <v>46140</v>
      </c>
      <c r="B522" s="4" t="n">
        <v>4549</v>
      </c>
      <c r="C522" t="n">
        <v>0.13</v>
      </c>
      <c r="D522" t="n">
        <v>5</v>
      </c>
    </row>
    <row r="523">
      <c r="A523" s="3" t="n">
        <v>46141</v>
      </c>
      <c r="B523" s="4" t="n">
        <v>4584</v>
      </c>
      <c r="C523" t="n">
        <v>0.77</v>
      </c>
      <c r="D523" t="n">
        <v>5</v>
      </c>
    </row>
    <row r="524">
      <c r="A524" s="3" t="n">
        <v>46142</v>
      </c>
      <c r="B524" s="4" t="n">
        <v>4757</v>
      </c>
      <c r="C524" t="n">
        <v>3.77</v>
      </c>
      <c r="D524" t="n">
        <v>5</v>
      </c>
    </row>
    <row r="525">
      <c r="A525" s="3" t="n">
        <v>46146</v>
      </c>
      <c r="B525" s="4" t="n">
        <v>4740</v>
      </c>
      <c r="C525" t="n">
        <v>-0.36</v>
      </c>
      <c r="D525" t="n">
        <v>5</v>
      </c>
    </row>
    <row r="526">
      <c r="A526" s="3" t="n">
        <v>46148</v>
      </c>
      <c r="B526" s="4" t="n">
        <v>4710</v>
      </c>
      <c r="C526" t="n">
        <v>-0.63</v>
      </c>
      <c r="D526" t="n">
        <v>5</v>
      </c>
    </row>
    <row r="527">
      <c r="A527" s="3" t="n">
        <v>46149</v>
      </c>
      <c r="B527" s="4" t="n">
        <v>4018</v>
      </c>
      <c r="C527" t="n">
        <v>-14.69</v>
      </c>
      <c r="D527" t="n">
        <v>5</v>
      </c>
    </row>
    <row r="528">
      <c r="A528" s="3" t="n">
        <v>46150</v>
      </c>
      <c r="B528" s="4" t="n">
        <v>4041</v>
      </c>
      <c r="C528" t="n">
        <v>0.57</v>
      </c>
      <c r="D528" t="n">
        <v>5</v>
      </c>
    </row>
    <row r="529">
      <c r="A529" s="3" t="n">
        <v>46153</v>
      </c>
      <c r="B529" s="4" t="n">
        <v>3909</v>
      </c>
      <c r="C529" t="n">
        <v>-3.27</v>
      </c>
      <c r="D529" t="n">
        <v>5</v>
      </c>
    </row>
    <row r="530">
      <c r="A530" s="3" t="n">
        <v>46154</v>
      </c>
      <c r="B530" s="4" t="n">
        <v>3885</v>
      </c>
      <c r="C530" t="n">
        <v>-0.61</v>
      </c>
      <c r="D530" t="n">
        <v>5</v>
      </c>
    </row>
    <row r="531">
      <c r="A531" s="3" t="n">
        <v>46155</v>
      </c>
      <c r="B531" s="4" t="n">
        <v>3879</v>
      </c>
      <c r="C531" t="n">
        <v>-0.15</v>
      </c>
      <c r="D531" t="n">
        <v>5</v>
      </c>
    </row>
    <row r="532">
      <c r="A532" s="3" t="n">
        <v>46156</v>
      </c>
      <c r="B532" s="4" t="n">
        <v>4289</v>
      </c>
      <c r="C532" t="n">
        <v>10.57</v>
      </c>
      <c r="D532" t="n">
        <v>5</v>
      </c>
    </row>
    <row r="533">
      <c r="A533" s="3" t="n">
        <v>46157</v>
      </c>
      <c r="B533" s="4" t="n">
        <v>4275</v>
      </c>
      <c r="C533" t="n">
        <v>-0.33</v>
      </c>
      <c r="D533" t="n">
        <v>5</v>
      </c>
    </row>
    <row r="534">
      <c r="A534" s="3" t="n">
        <v>46160</v>
      </c>
      <c r="B534" s="4" t="n">
        <v>4232</v>
      </c>
      <c r="C534" t="n">
        <v>-1.01</v>
      </c>
      <c r="D534" t="n">
        <v>5</v>
      </c>
    </row>
    <row r="535">
      <c r="A535" s="3" t="n">
        <v>46161</v>
      </c>
      <c r="B535" s="4" t="n">
        <v>4241</v>
      </c>
      <c r="C535" t="n">
        <v>0.21</v>
      </c>
      <c r="D535" t="n">
        <v>5</v>
      </c>
    </row>
    <row r="536">
      <c r="A536" s="3" t="n">
        <v>46162</v>
      </c>
      <c r="B536" s="4" t="n">
        <v>4288</v>
      </c>
      <c r="C536" t="n">
        <v>1.11</v>
      </c>
      <c r="D536" t="n">
        <v>5</v>
      </c>
    </row>
    <row r="537">
      <c r="A537" s="3" t="n">
        <v>46163</v>
      </c>
      <c r="B537" s="4" t="n">
        <v>4176</v>
      </c>
      <c r="C537" t="n">
        <v>-2.61</v>
      </c>
      <c r="D537" t="n">
        <v>5</v>
      </c>
    </row>
    <row r="538">
      <c r="A538" s="3" t="n">
        <v>46164</v>
      </c>
      <c r="B538" s="4" t="n">
        <v>4170</v>
      </c>
      <c r="C538" t="n">
        <v>-0.14</v>
      </c>
      <c r="D538" t="n">
        <v>5</v>
      </c>
    </row>
    <row r="539">
      <c r="A539" s="3" t="n">
        <v>46168</v>
      </c>
      <c r="B539" s="4" t="n">
        <v>4179</v>
      </c>
      <c r="C539" t="n">
        <v>0.22</v>
      </c>
      <c r="D539" t="n">
        <v>5</v>
      </c>
    </row>
    <row r="540">
      <c r="A540" s="3" t="n">
        <v>46169</v>
      </c>
      <c r="B540" s="4" t="n">
        <v>4199</v>
      </c>
      <c r="C540" t="n">
        <v>0.48</v>
      </c>
      <c r="D540" t="n">
        <v>5</v>
      </c>
    </row>
    <row r="541">
      <c r="A541" s="3" t="n">
        <v>46170</v>
      </c>
      <c r="B541" s="4" t="n">
        <v>4343</v>
      </c>
      <c r="C541" t="n">
        <v>3.43</v>
      </c>
      <c r="D541" t="n">
        <v>5</v>
      </c>
    </row>
    <row r="542">
      <c r="A542" s="3" t="n">
        <v>46171</v>
      </c>
      <c r="B542" s="4" t="n">
        <v>4318</v>
      </c>
      <c r="C542" t="n">
        <v>-0.58</v>
      </c>
      <c r="D54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(기상청 원자료를 이 시트에 붙여 넣습니다)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5" customWidth="1" min="4" max="4"/>
    <col width="8" customWidth="1" min="5" max="5"/>
    <col width="11" customWidth="1" min="6" max="6"/>
    <col width="13" customWidth="1" min="7" max="7"/>
    <col width="15" customWidth="1" min="8" max="8"/>
    <col width="9" customWidth="1" min="9" max="9"/>
    <col width="11" customWidth="1" min="10" max="10"/>
    <col width="11" customWidth="1" min="11" max="11"/>
    <col width="11" customWidth="1" min="12" max="12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3" customWidth="1" min="19" max="19"/>
  </cols>
  <sheetData>
    <row r="1">
      <c r="A1" s="5" t="inlineStr">
        <is>
          <t>토마토 월평균 소매가격(대전)과 기상 비교 (2023년 10월~2026년 9월)</t>
        </is>
      </c>
    </row>
    <row r="2">
      <c r="A2" t="inlineStr">
        <is>
          <t>자료: KAMIS 농산물유통정보 소매가격(채소류·토마토·상품·1kg), 일별 가격을 월별 평균하여 산출 / 기상: 기상청(입력)</t>
        </is>
      </c>
    </row>
    <row r="4" ht="46" customHeight="1">
      <c r="A4" s="6" t="inlineStr">
        <is>
          <t>연월</t>
        </is>
      </c>
      <c r="B4" s="6" t="inlineStr">
        <is>
          <t>월 시작일</t>
        </is>
      </c>
      <c r="C4" s="6" t="inlineStr">
        <is>
          <t>월 말일</t>
        </is>
      </c>
      <c r="D4" s="6" t="inlineStr">
        <is>
          <t>월평균 소매가격
대전(원/kg)</t>
        </is>
      </c>
      <c r="E4" s="6" t="inlineStr">
        <is>
          <t>조사일수</t>
        </is>
      </c>
      <c r="F4" s="6" t="inlineStr">
        <is>
          <t>전월 대비
변화율(%)</t>
        </is>
      </c>
      <c r="G4" s="6" t="inlineStr">
        <is>
          <t>전년 동월 대비
변화율(%)</t>
        </is>
      </c>
      <c r="H4" s="6" t="inlineStr">
        <is>
          <t>월평균 소매가격
전국(원/kg)</t>
        </is>
      </c>
      <c r="I4" s="6" t="inlineStr">
        <is>
          <t>전국 조사일수</t>
        </is>
      </c>
      <c r="J4" s="6" t="inlineStr">
        <is>
          <t>월평균기온
(℃)</t>
        </is>
      </c>
      <c r="K4" s="6" t="inlineStr">
        <is>
          <t>월강수량
(mm)</t>
        </is>
      </c>
      <c r="L4" s="6" t="inlineStr">
        <is>
          <t>월일조시간
(hr)</t>
        </is>
      </c>
      <c r="N4" s="1" t="inlineStr">
        <is>
          <t>표 1. 1년 구간별 월평균 소매가격 요약</t>
        </is>
      </c>
    </row>
    <row r="5">
      <c r="A5" s="7" t="inlineStr">
        <is>
          <t>2023.10</t>
        </is>
      </c>
      <c r="B5" s="8" t="n">
        <v>45200</v>
      </c>
      <c r="C5" s="8">
        <f>EOMONTH(B5,0)</f>
        <v/>
      </c>
      <c r="D5" s="9">
        <f>IFERROR(AVERAGEIFS('가격 Raw(지역)'!$B$4:$B$916,'가격 Raw(지역)'!$A$4:$A$916,"&gt;="&amp;B5,'가격 Raw(지역)'!$A$4:$A$916,"&lt;="&amp;C5),"")</f>
        <v/>
      </c>
      <c r="E5" s="7">
        <f>COUNTIFS('가격 Raw(지역)'!$A$4:$A$916,"&gt;="&amp;B5,'가격 Raw(지역)'!$A$4:$A$916,"&lt;="&amp;C5)</f>
        <v/>
      </c>
      <c r="F5" s="10" t="inlineStr">
        <is>
          <t>-</t>
        </is>
      </c>
      <c r="G5" s="10" t="inlineStr">
        <is>
          <t>-</t>
        </is>
      </c>
      <c r="H5" s="9">
        <f>IF(I5&lt;10,"",AVERAGEIFS('가격 Raw(전국)'!$B$4:$B$542,'가격 Raw(전국)'!$A$4:$A$542,"&gt;="&amp;B5,'가격 Raw(전국)'!$A$4:$A$542,"&lt;="&amp;C5))</f>
        <v/>
      </c>
      <c r="I5" s="7">
        <f>COUNTIFS('가격 Raw(전국)'!$A$4:$A$542,"&gt;="&amp;B5,'가격 Raw(전국)'!$A$4:$A$542,"&lt;="&amp;C5)</f>
        <v/>
      </c>
      <c r="J5" s="7" t="n"/>
      <c r="K5" s="7" t="n"/>
      <c r="L5" s="7" t="n"/>
      <c r="N5" s="6" t="inlineStr">
        <is>
          <t>구간</t>
        </is>
      </c>
      <c r="O5" s="6" t="inlineStr">
        <is>
          <t>평균(원/kg)</t>
        </is>
      </c>
      <c r="P5" s="6" t="inlineStr">
        <is>
          <t>최고 월</t>
        </is>
      </c>
      <c r="Q5" s="6" t="inlineStr">
        <is>
          <t>최고(원/kg)</t>
        </is>
      </c>
      <c r="R5" s="6" t="inlineStr">
        <is>
          <t>최저 월</t>
        </is>
      </c>
      <c r="S5" s="6" t="inlineStr">
        <is>
          <t>최저(원/kg)</t>
        </is>
      </c>
    </row>
    <row r="6">
      <c r="A6" s="7" t="inlineStr">
        <is>
          <t>2023.11</t>
        </is>
      </c>
      <c r="B6" s="8" t="n">
        <v>45231</v>
      </c>
      <c r="C6" s="8">
        <f>EOMONTH(B6,0)</f>
        <v/>
      </c>
      <c r="D6" s="9">
        <f>IFERROR(AVERAGEIFS('가격 Raw(지역)'!$B$4:$B$916,'가격 Raw(지역)'!$A$4:$A$916,"&gt;="&amp;B6,'가격 Raw(지역)'!$A$4:$A$916,"&lt;="&amp;C6),"")</f>
        <v/>
      </c>
      <c r="E6" s="7">
        <f>COUNTIFS('가격 Raw(지역)'!$A$4:$A$916,"&gt;="&amp;B6,'가격 Raw(지역)'!$A$4:$A$916,"&lt;="&amp;C6)</f>
        <v/>
      </c>
      <c r="F6" s="10">
        <f>IF(OR(D6="",D5=""),"",(D6-D5)/D5*100)</f>
        <v/>
      </c>
      <c r="G6" s="10" t="inlineStr">
        <is>
          <t>-</t>
        </is>
      </c>
      <c r="H6" s="9">
        <f>IF(I6&lt;10,"",AVERAGEIFS('가격 Raw(전국)'!$B$4:$B$542,'가격 Raw(전국)'!$A$4:$A$542,"&gt;="&amp;B6,'가격 Raw(전국)'!$A$4:$A$542,"&lt;="&amp;C6))</f>
        <v/>
      </c>
      <c r="I6" s="7">
        <f>COUNTIFS('가격 Raw(전국)'!$A$4:$A$542,"&gt;="&amp;B6,'가격 Raw(전국)'!$A$4:$A$542,"&lt;="&amp;C6)</f>
        <v/>
      </c>
      <c r="J6" s="7" t="n"/>
      <c r="K6" s="7" t="n"/>
      <c r="L6" s="7" t="n"/>
      <c r="N6" s="7" t="inlineStr">
        <is>
          <t>2023.10~2024.09</t>
        </is>
      </c>
      <c r="O6" s="9">
        <f>AVERAGE(D5:D16)</f>
        <v/>
      </c>
      <c r="P6" s="7">
        <f>INDEX(A5:A16,MATCH(MAX(D5:D16),D5:D16,0))</f>
        <v/>
      </c>
      <c r="Q6" s="9">
        <f>MAX(D5:D16)</f>
        <v/>
      </c>
      <c r="R6" s="7">
        <f>INDEX(A5:A16,MATCH(MIN(D5:D16),D5:D16,0))</f>
        <v/>
      </c>
      <c r="S6" s="9">
        <f>MIN(D5:D16)</f>
        <v/>
      </c>
    </row>
    <row r="7">
      <c r="A7" s="7" t="inlineStr">
        <is>
          <t>2023.12</t>
        </is>
      </c>
      <c r="B7" s="8" t="n">
        <v>45261</v>
      </c>
      <c r="C7" s="8">
        <f>EOMONTH(B7,0)</f>
        <v/>
      </c>
      <c r="D7" s="9">
        <f>IFERROR(AVERAGEIFS('가격 Raw(지역)'!$B$4:$B$916,'가격 Raw(지역)'!$A$4:$A$916,"&gt;="&amp;B7,'가격 Raw(지역)'!$A$4:$A$916,"&lt;="&amp;C7),"")</f>
        <v/>
      </c>
      <c r="E7" s="7">
        <f>COUNTIFS('가격 Raw(지역)'!$A$4:$A$916,"&gt;="&amp;B7,'가격 Raw(지역)'!$A$4:$A$916,"&lt;="&amp;C7)</f>
        <v/>
      </c>
      <c r="F7" s="10">
        <f>IF(OR(D7="",D6=""),"",(D7-D6)/D6*100)</f>
        <v/>
      </c>
      <c r="G7" s="10" t="inlineStr">
        <is>
          <t>-</t>
        </is>
      </c>
      <c r="H7" s="9">
        <f>IF(I7&lt;10,"",AVERAGEIFS('가격 Raw(전국)'!$B$4:$B$542,'가격 Raw(전국)'!$A$4:$A$542,"&gt;="&amp;B7,'가격 Raw(전국)'!$A$4:$A$542,"&lt;="&amp;C7))</f>
        <v/>
      </c>
      <c r="I7" s="7">
        <f>COUNTIFS('가격 Raw(전국)'!$A$4:$A$542,"&gt;="&amp;B7,'가격 Raw(전국)'!$A$4:$A$542,"&lt;="&amp;C7)</f>
        <v/>
      </c>
      <c r="J7" s="7" t="n"/>
      <c r="K7" s="7" t="n"/>
      <c r="L7" s="7" t="n"/>
      <c r="N7" s="7" t="inlineStr">
        <is>
          <t>2024.10~2025.09</t>
        </is>
      </c>
      <c r="O7" s="9">
        <f>AVERAGE(D17:D28)</f>
        <v/>
      </c>
      <c r="P7" s="7">
        <f>INDEX(A17:A28,MATCH(MAX(D17:D28),D17:D28,0))</f>
        <v/>
      </c>
      <c r="Q7" s="9">
        <f>MAX(D17:D28)</f>
        <v/>
      </c>
      <c r="R7" s="7">
        <f>INDEX(A17:A28,MATCH(MIN(D17:D28),D17:D28,0))</f>
        <v/>
      </c>
      <c r="S7" s="9">
        <f>MIN(D17:D28)</f>
        <v/>
      </c>
    </row>
    <row r="8">
      <c r="A8" s="7" t="inlineStr">
        <is>
          <t>2024.01</t>
        </is>
      </c>
      <c r="B8" s="8" t="n">
        <v>45292</v>
      </c>
      <c r="C8" s="8">
        <f>EOMONTH(B8,0)</f>
        <v/>
      </c>
      <c r="D8" s="9">
        <f>IFERROR(AVERAGEIFS('가격 Raw(지역)'!$B$4:$B$916,'가격 Raw(지역)'!$A$4:$A$916,"&gt;="&amp;B8,'가격 Raw(지역)'!$A$4:$A$916,"&lt;="&amp;C8),"")</f>
        <v/>
      </c>
      <c r="E8" s="7">
        <f>COUNTIFS('가격 Raw(지역)'!$A$4:$A$916,"&gt;="&amp;B8,'가격 Raw(지역)'!$A$4:$A$916,"&lt;="&amp;C8)</f>
        <v/>
      </c>
      <c r="F8" s="10">
        <f>IF(OR(D8="",D7=""),"",(D8-D7)/D7*100)</f>
        <v/>
      </c>
      <c r="G8" s="10" t="inlineStr">
        <is>
          <t>-</t>
        </is>
      </c>
      <c r="H8" s="9">
        <f>IF(I8&lt;10,"",AVERAGEIFS('가격 Raw(전국)'!$B$4:$B$542,'가격 Raw(전국)'!$A$4:$A$542,"&gt;="&amp;B8,'가격 Raw(전국)'!$A$4:$A$542,"&lt;="&amp;C8))</f>
        <v/>
      </c>
      <c r="I8" s="7">
        <f>COUNTIFS('가격 Raw(전국)'!$A$4:$A$542,"&gt;="&amp;B8,'가격 Raw(전국)'!$A$4:$A$542,"&lt;="&amp;C8)</f>
        <v/>
      </c>
      <c r="J8" s="7" t="n"/>
      <c r="K8" s="7" t="n"/>
      <c r="L8" s="7" t="n"/>
      <c r="N8" s="7" t="inlineStr">
        <is>
          <t>2025.10~2026.09</t>
        </is>
      </c>
      <c r="O8" s="9">
        <f>AVERAGE(D29:D40)</f>
        <v/>
      </c>
      <c r="P8" s="7">
        <f>INDEX(A29:A40,MATCH(MAX(D29:D40),D29:D40,0))</f>
        <v/>
      </c>
      <c r="Q8" s="9">
        <f>MAX(D29:D40)</f>
        <v/>
      </c>
      <c r="R8" s="7">
        <f>INDEX(A29:A40,MATCH(MIN(D29:D40),D29:D40,0))</f>
        <v/>
      </c>
      <c r="S8" s="9">
        <f>MIN(D29:D40)</f>
        <v/>
      </c>
    </row>
    <row r="9">
      <c r="A9" s="7" t="inlineStr">
        <is>
          <t>2024.02</t>
        </is>
      </c>
      <c r="B9" s="8" t="n">
        <v>45323</v>
      </c>
      <c r="C9" s="8">
        <f>EOMONTH(B9,0)</f>
        <v/>
      </c>
      <c r="D9" s="9">
        <f>IFERROR(AVERAGEIFS('가격 Raw(지역)'!$B$4:$B$916,'가격 Raw(지역)'!$A$4:$A$916,"&gt;="&amp;B9,'가격 Raw(지역)'!$A$4:$A$916,"&lt;="&amp;C9),"")</f>
        <v/>
      </c>
      <c r="E9" s="7">
        <f>COUNTIFS('가격 Raw(지역)'!$A$4:$A$916,"&gt;="&amp;B9,'가격 Raw(지역)'!$A$4:$A$916,"&lt;="&amp;C9)</f>
        <v/>
      </c>
      <c r="F9" s="10">
        <f>IF(OR(D9="",D8=""),"",(D9-D8)/D8*100)</f>
        <v/>
      </c>
      <c r="G9" s="10" t="inlineStr">
        <is>
          <t>-</t>
        </is>
      </c>
      <c r="H9" s="9">
        <f>IF(I9&lt;10,"",AVERAGEIFS('가격 Raw(전국)'!$B$4:$B$542,'가격 Raw(전국)'!$A$4:$A$542,"&gt;="&amp;B9,'가격 Raw(전국)'!$A$4:$A$542,"&lt;="&amp;C9))</f>
        <v/>
      </c>
      <c r="I9" s="7">
        <f>COUNTIFS('가격 Raw(전국)'!$A$4:$A$542,"&gt;="&amp;B9,'가격 Raw(전국)'!$A$4:$A$542,"&lt;="&amp;C9)</f>
        <v/>
      </c>
      <c r="J9" s="7" t="n"/>
      <c r="K9" s="7" t="n"/>
      <c r="L9" s="7" t="n"/>
      <c r="N9" s="7" t="inlineStr">
        <is>
          <t>전체 36개월</t>
        </is>
      </c>
      <c r="O9" s="9">
        <f>AVERAGE(D5:D40)</f>
        <v/>
      </c>
      <c r="P9" s="7">
        <f>INDEX(A5:A40,MATCH(MAX(D5:D40),D5:D40,0))</f>
        <v/>
      </c>
      <c r="Q9" s="9">
        <f>MAX(D5:D40)</f>
        <v/>
      </c>
      <c r="R9" s="7">
        <f>INDEX(A5:A40,MATCH(MIN(D5:D40),D5:D40,0))</f>
        <v/>
      </c>
      <c r="S9" s="9">
        <f>MIN(D5:D40)</f>
        <v/>
      </c>
    </row>
    <row r="10">
      <c r="A10" s="7" t="inlineStr">
        <is>
          <t>2024.03</t>
        </is>
      </c>
      <c r="B10" s="8" t="n">
        <v>45352</v>
      </c>
      <c r="C10" s="8">
        <f>EOMONTH(B10,0)</f>
        <v/>
      </c>
      <c r="D10" s="9">
        <f>IFERROR(AVERAGEIFS('가격 Raw(지역)'!$B$4:$B$916,'가격 Raw(지역)'!$A$4:$A$916,"&gt;="&amp;B10,'가격 Raw(지역)'!$A$4:$A$916,"&lt;="&amp;C10),"")</f>
        <v/>
      </c>
      <c r="E10" s="7">
        <f>COUNTIFS('가격 Raw(지역)'!$A$4:$A$916,"&gt;="&amp;B10,'가격 Raw(지역)'!$A$4:$A$916,"&lt;="&amp;C10)</f>
        <v/>
      </c>
      <c r="F10" s="10">
        <f>IF(OR(D10="",D9=""),"",(D10-D9)/D9*100)</f>
        <v/>
      </c>
      <c r="G10" s="10" t="inlineStr">
        <is>
          <t>-</t>
        </is>
      </c>
      <c r="H10" s="9">
        <f>IF(I10&lt;10,"",AVERAGEIFS('가격 Raw(전국)'!$B$4:$B$542,'가격 Raw(전국)'!$A$4:$A$542,"&gt;="&amp;B10,'가격 Raw(전국)'!$A$4:$A$542,"&lt;="&amp;C10))</f>
        <v/>
      </c>
      <c r="I10" s="7">
        <f>COUNTIFS('가격 Raw(전국)'!$A$4:$A$542,"&gt;="&amp;B10,'가격 Raw(전국)'!$A$4:$A$542,"&lt;="&amp;C10)</f>
        <v/>
      </c>
      <c r="J10" s="7" t="n"/>
      <c r="K10" s="7" t="n"/>
      <c r="L10" s="7" t="n"/>
    </row>
    <row r="11">
      <c r="A11" s="7" t="inlineStr">
        <is>
          <t>2024.04</t>
        </is>
      </c>
      <c r="B11" s="8" t="n">
        <v>45383</v>
      </c>
      <c r="C11" s="8">
        <f>EOMONTH(B11,0)</f>
        <v/>
      </c>
      <c r="D11" s="9">
        <f>IFERROR(AVERAGEIFS('가격 Raw(지역)'!$B$4:$B$916,'가격 Raw(지역)'!$A$4:$A$916,"&gt;="&amp;B11,'가격 Raw(지역)'!$A$4:$A$916,"&lt;="&amp;C11),"")</f>
        <v/>
      </c>
      <c r="E11" s="7">
        <f>COUNTIFS('가격 Raw(지역)'!$A$4:$A$916,"&gt;="&amp;B11,'가격 Raw(지역)'!$A$4:$A$916,"&lt;="&amp;C11)</f>
        <v/>
      </c>
      <c r="F11" s="10">
        <f>IF(OR(D11="",D10=""),"",(D11-D10)/D10*100)</f>
        <v/>
      </c>
      <c r="G11" s="10" t="inlineStr">
        <is>
          <t>-</t>
        </is>
      </c>
      <c r="H11" s="9">
        <f>IF(I11&lt;10,"",AVERAGEIFS('가격 Raw(전국)'!$B$4:$B$542,'가격 Raw(전국)'!$A$4:$A$542,"&gt;="&amp;B11,'가격 Raw(전국)'!$A$4:$A$542,"&lt;="&amp;C11))</f>
        <v/>
      </c>
      <c r="I11" s="7">
        <f>COUNTIFS('가격 Raw(전국)'!$A$4:$A$542,"&gt;="&amp;B11,'가격 Raw(전국)'!$A$4:$A$542,"&lt;="&amp;C11)</f>
        <v/>
      </c>
      <c r="J11" s="7" t="n"/>
      <c r="K11" s="7" t="n"/>
      <c r="L11" s="7" t="n"/>
      <c r="N11" s="1" t="inlineStr">
        <is>
          <t>표 2. 달(月)별 3년 비교와 평균 (원/kg)</t>
        </is>
      </c>
    </row>
    <row r="12">
      <c r="A12" s="7" t="inlineStr">
        <is>
          <t>2024.05</t>
        </is>
      </c>
      <c r="B12" s="8" t="n">
        <v>45413</v>
      </c>
      <c r="C12" s="8">
        <f>EOMONTH(B12,0)</f>
        <v/>
      </c>
      <c r="D12" s="9">
        <f>IFERROR(AVERAGEIFS('가격 Raw(지역)'!$B$4:$B$916,'가격 Raw(지역)'!$A$4:$A$916,"&gt;="&amp;B12,'가격 Raw(지역)'!$A$4:$A$916,"&lt;="&amp;C12),"")</f>
        <v/>
      </c>
      <c r="E12" s="7">
        <f>COUNTIFS('가격 Raw(지역)'!$A$4:$A$916,"&gt;="&amp;B12,'가격 Raw(지역)'!$A$4:$A$916,"&lt;="&amp;C12)</f>
        <v/>
      </c>
      <c r="F12" s="10">
        <f>IF(OR(D12="",D11=""),"",(D12-D11)/D11*100)</f>
        <v/>
      </c>
      <c r="G12" s="10" t="inlineStr">
        <is>
          <t>-</t>
        </is>
      </c>
      <c r="H12" s="9">
        <f>IF(I12&lt;10,"",AVERAGEIFS('가격 Raw(전국)'!$B$4:$B$542,'가격 Raw(전국)'!$A$4:$A$542,"&gt;="&amp;B12,'가격 Raw(전국)'!$A$4:$A$542,"&lt;="&amp;C12))</f>
        <v/>
      </c>
      <c r="I12" s="7">
        <f>COUNTIFS('가격 Raw(전국)'!$A$4:$A$542,"&gt;="&amp;B12,'가격 Raw(전국)'!$A$4:$A$542,"&lt;="&amp;C12)</f>
        <v/>
      </c>
      <c r="J12" s="7" t="n"/>
      <c r="K12" s="7" t="n"/>
      <c r="L12" s="7" t="n"/>
      <c r="N12" s="6" t="inlineStr">
        <is>
          <t>월</t>
        </is>
      </c>
      <c r="O12" s="6" t="inlineStr">
        <is>
          <t>2023.10~24.09</t>
        </is>
      </c>
      <c r="P12" s="6" t="inlineStr">
        <is>
          <t>2024.10~25.09</t>
        </is>
      </c>
      <c r="Q12" s="6" t="inlineStr">
        <is>
          <t>2025.10~26.09</t>
        </is>
      </c>
      <c r="R12" s="6" t="inlineStr">
        <is>
          <t>3년 평균</t>
        </is>
      </c>
    </row>
    <row r="13">
      <c r="A13" s="7" t="inlineStr">
        <is>
          <t>2024.06</t>
        </is>
      </c>
      <c r="B13" s="8" t="n">
        <v>45444</v>
      </c>
      <c r="C13" s="8">
        <f>EOMONTH(B13,0)</f>
        <v/>
      </c>
      <c r="D13" s="9">
        <f>IFERROR(AVERAGEIFS('가격 Raw(지역)'!$B$4:$B$916,'가격 Raw(지역)'!$A$4:$A$916,"&gt;="&amp;B13,'가격 Raw(지역)'!$A$4:$A$916,"&lt;="&amp;C13),"")</f>
        <v/>
      </c>
      <c r="E13" s="7">
        <f>COUNTIFS('가격 Raw(지역)'!$A$4:$A$916,"&gt;="&amp;B13,'가격 Raw(지역)'!$A$4:$A$916,"&lt;="&amp;C13)</f>
        <v/>
      </c>
      <c r="F13" s="10">
        <f>IF(OR(D13="",D12=""),"",(D13-D12)/D12*100)</f>
        <v/>
      </c>
      <c r="G13" s="10" t="inlineStr">
        <is>
          <t>-</t>
        </is>
      </c>
      <c r="H13" s="9">
        <f>IF(I13&lt;10,"",AVERAGEIFS('가격 Raw(전국)'!$B$4:$B$542,'가격 Raw(전국)'!$A$4:$A$542,"&gt;="&amp;B13,'가격 Raw(전국)'!$A$4:$A$542,"&lt;="&amp;C13))</f>
        <v/>
      </c>
      <c r="I13" s="7">
        <f>COUNTIFS('가격 Raw(전국)'!$A$4:$A$542,"&gt;="&amp;B13,'가격 Raw(전국)'!$A$4:$A$542,"&lt;="&amp;C13)</f>
        <v/>
      </c>
      <c r="J13" s="7" t="n"/>
      <c r="K13" s="7" t="n"/>
      <c r="L13" s="7" t="n"/>
      <c r="N13" s="7" t="inlineStr">
        <is>
          <t>10월</t>
        </is>
      </c>
      <c r="O13" s="9">
        <f>D5</f>
        <v/>
      </c>
      <c r="P13" s="9">
        <f>D17</f>
        <v/>
      </c>
      <c r="Q13" s="9">
        <f>D29</f>
        <v/>
      </c>
      <c r="R13" s="9">
        <f>AVERAGE(O13:Q13)</f>
        <v/>
      </c>
    </row>
    <row r="14">
      <c r="A14" s="7" t="inlineStr">
        <is>
          <t>2024.07</t>
        </is>
      </c>
      <c r="B14" s="8" t="n">
        <v>45474</v>
      </c>
      <c r="C14" s="8">
        <f>EOMONTH(B14,0)</f>
        <v/>
      </c>
      <c r="D14" s="9">
        <f>IFERROR(AVERAGEIFS('가격 Raw(지역)'!$B$4:$B$916,'가격 Raw(지역)'!$A$4:$A$916,"&gt;="&amp;B14,'가격 Raw(지역)'!$A$4:$A$916,"&lt;="&amp;C14),"")</f>
        <v/>
      </c>
      <c r="E14" s="7">
        <f>COUNTIFS('가격 Raw(지역)'!$A$4:$A$916,"&gt;="&amp;B14,'가격 Raw(지역)'!$A$4:$A$916,"&lt;="&amp;C14)</f>
        <v/>
      </c>
      <c r="F14" s="10">
        <f>IF(OR(D14="",D13=""),"",(D14-D13)/D13*100)</f>
        <v/>
      </c>
      <c r="G14" s="10" t="inlineStr">
        <is>
          <t>-</t>
        </is>
      </c>
      <c r="H14" s="9">
        <f>IF(I14&lt;10,"",AVERAGEIFS('가격 Raw(전국)'!$B$4:$B$542,'가격 Raw(전국)'!$A$4:$A$542,"&gt;="&amp;B14,'가격 Raw(전국)'!$A$4:$A$542,"&lt;="&amp;C14))</f>
        <v/>
      </c>
      <c r="I14" s="7">
        <f>COUNTIFS('가격 Raw(전국)'!$A$4:$A$542,"&gt;="&amp;B14,'가격 Raw(전국)'!$A$4:$A$542,"&lt;="&amp;C14)</f>
        <v/>
      </c>
      <c r="J14" s="7" t="n"/>
      <c r="K14" s="7" t="n"/>
      <c r="L14" s="7" t="n"/>
      <c r="N14" s="7" t="inlineStr">
        <is>
          <t>11월</t>
        </is>
      </c>
      <c r="O14" s="9">
        <f>D6</f>
        <v/>
      </c>
      <c r="P14" s="9">
        <f>D18</f>
        <v/>
      </c>
      <c r="Q14" s="9">
        <f>D30</f>
        <v/>
      </c>
      <c r="R14" s="9">
        <f>AVERAGE(O14:Q14)</f>
        <v/>
      </c>
    </row>
    <row r="15">
      <c r="A15" s="7" t="inlineStr">
        <is>
          <t>2024.08</t>
        </is>
      </c>
      <c r="B15" s="8" t="n">
        <v>45505</v>
      </c>
      <c r="C15" s="8">
        <f>EOMONTH(B15,0)</f>
        <v/>
      </c>
      <c r="D15" s="9">
        <f>IFERROR(AVERAGEIFS('가격 Raw(지역)'!$B$4:$B$916,'가격 Raw(지역)'!$A$4:$A$916,"&gt;="&amp;B15,'가격 Raw(지역)'!$A$4:$A$916,"&lt;="&amp;C15),"")</f>
        <v/>
      </c>
      <c r="E15" s="7">
        <f>COUNTIFS('가격 Raw(지역)'!$A$4:$A$916,"&gt;="&amp;B15,'가격 Raw(지역)'!$A$4:$A$916,"&lt;="&amp;C15)</f>
        <v/>
      </c>
      <c r="F15" s="10">
        <f>IF(OR(D15="",D14=""),"",(D15-D14)/D14*100)</f>
        <v/>
      </c>
      <c r="G15" s="10" t="inlineStr">
        <is>
          <t>-</t>
        </is>
      </c>
      <c r="H15" s="9">
        <f>IF(I15&lt;10,"",AVERAGEIFS('가격 Raw(전국)'!$B$4:$B$542,'가격 Raw(전국)'!$A$4:$A$542,"&gt;="&amp;B15,'가격 Raw(전국)'!$A$4:$A$542,"&lt;="&amp;C15))</f>
        <v/>
      </c>
      <c r="I15" s="7">
        <f>COUNTIFS('가격 Raw(전국)'!$A$4:$A$542,"&gt;="&amp;B15,'가격 Raw(전국)'!$A$4:$A$542,"&lt;="&amp;C15)</f>
        <v/>
      </c>
      <c r="J15" s="7" t="n"/>
      <c r="K15" s="7" t="n"/>
      <c r="L15" s="7" t="n"/>
      <c r="N15" s="7" t="inlineStr">
        <is>
          <t>12월</t>
        </is>
      </c>
      <c r="O15" s="9">
        <f>D7</f>
        <v/>
      </c>
      <c r="P15" s="9">
        <f>D19</f>
        <v/>
      </c>
      <c r="Q15" s="9">
        <f>D31</f>
        <v/>
      </c>
      <c r="R15" s="9">
        <f>AVERAGE(O15:Q15)</f>
        <v/>
      </c>
    </row>
    <row r="16">
      <c r="A16" s="7" t="inlineStr">
        <is>
          <t>2024.09</t>
        </is>
      </c>
      <c r="B16" s="8" t="n">
        <v>45536</v>
      </c>
      <c r="C16" s="8">
        <f>EOMONTH(B16,0)</f>
        <v/>
      </c>
      <c r="D16" s="9">
        <f>IFERROR(AVERAGEIFS('가격 Raw(지역)'!$B$4:$B$916,'가격 Raw(지역)'!$A$4:$A$916,"&gt;="&amp;B16,'가격 Raw(지역)'!$A$4:$A$916,"&lt;="&amp;C16),"")</f>
        <v/>
      </c>
      <c r="E16" s="7">
        <f>COUNTIFS('가격 Raw(지역)'!$A$4:$A$916,"&gt;="&amp;B16,'가격 Raw(지역)'!$A$4:$A$916,"&lt;="&amp;C16)</f>
        <v/>
      </c>
      <c r="F16" s="10">
        <f>IF(OR(D16="",D15=""),"",(D16-D15)/D15*100)</f>
        <v/>
      </c>
      <c r="G16" s="10" t="inlineStr">
        <is>
          <t>-</t>
        </is>
      </c>
      <c r="H16" s="9">
        <f>IF(I16&lt;10,"",AVERAGEIFS('가격 Raw(전국)'!$B$4:$B$542,'가격 Raw(전국)'!$A$4:$A$542,"&gt;="&amp;B16,'가격 Raw(전국)'!$A$4:$A$542,"&lt;="&amp;C16))</f>
        <v/>
      </c>
      <c r="I16" s="7">
        <f>COUNTIFS('가격 Raw(전국)'!$A$4:$A$542,"&gt;="&amp;B16,'가격 Raw(전국)'!$A$4:$A$542,"&lt;="&amp;C16)</f>
        <v/>
      </c>
      <c r="J16" s="7" t="n"/>
      <c r="K16" s="7" t="n"/>
      <c r="L16" s="7" t="n"/>
      <c r="N16" s="7" t="inlineStr">
        <is>
          <t>1월</t>
        </is>
      </c>
      <c r="O16" s="9">
        <f>D8</f>
        <v/>
      </c>
      <c r="P16" s="9">
        <f>D20</f>
        <v/>
      </c>
      <c r="Q16" s="9">
        <f>D32</f>
        <v/>
      </c>
      <c r="R16" s="9">
        <f>AVERAGE(O16:Q16)</f>
        <v/>
      </c>
    </row>
    <row r="17">
      <c r="A17" s="7" t="inlineStr">
        <is>
          <t>2024.10</t>
        </is>
      </c>
      <c r="B17" s="8" t="n">
        <v>45566</v>
      </c>
      <c r="C17" s="8">
        <f>EOMONTH(B17,0)</f>
        <v/>
      </c>
      <c r="D17" s="9">
        <f>IFERROR(AVERAGEIFS('가격 Raw(지역)'!$B$4:$B$916,'가격 Raw(지역)'!$A$4:$A$916,"&gt;="&amp;B17,'가격 Raw(지역)'!$A$4:$A$916,"&lt;="&amp;C17),"")</f>
        <v/>
      </c>
      <c r="E17" s="7">
        <f>COUNTIFS('가격 Raw(지역)'!$A$4:$A$916,"&gt;="&amp;B17,'가격 Raw(지역)'!$A$4:$A$916,"&lt;="&amp;C17)</f>
        <v/>
      </c>
      <c r="F17" s="10">
        <f>IF(OR(D17="",D16=""),"",(D17-D16)/D16*100)</f>
        <v/>
      </c>
      <c r="G17" s="10">
        <f>IF(OR(D17="",D5=""),"",(D17-D5)/D5*100)</f>
        <v/>
      </c>
      <c r="H17" s="9">
        <f>IF(I17&lt;10,"",AVERAGEIFS('가격 Raw(전국)'!$B$4:$B$542,'가격 Raw(전국)'!$A$4:$A$542,"&gt;="&amp;B17,'가격 Raw(전국)'!$A$4:$A$542,"&lt;="&amp;C17))</f>
        <v/>
      </c>
      <c r="I17" s="7">
        <f>COUNTIFS('가격 Raw(전국)'!$A$4:$A$542,"&gt;="&amp;B17,'가격 Raw(전국)'!$A$4:$A$542,"&lt;="&amp;C17)</f>
        <v/>
      </c>
      <c r="J17" s="7" t="n"/>
      <c r="K17" s="7" t="n"/>
      <c r="L17" s="7" t="n"/>
      <c r="N17" s="7" t="inlineStr">
        <is>
          <t>2월</t>
        </is>
      </c>
      <c r="O17" s="9">
        <f>D9</f>
        <v/>
      </c>
      <c r="P17" s="9">
        <f>D21</f>
        <v/>
      </c>
      <c r="Q17" s="9">
        <f>D33</f>
        <v/>
      </c>
      <c r="R17" s="9">
        <f>AVERAGE(O17:Q17)</f>
        <v/>
      </c>
    </row>
    <row r="18">
      <c r="A18" s="7" t="inlineStr">
        <is>
          <t>2024.11</t>
        </is>
      </c>
      <c r="B18" s="8" t="n">
        <v>45597</v>
      </c>
      <c r="C18" s="8">
        <f>EOMONTH(B18,0)</f>
        <v/>
      </c>
      <c r="D18" s="9">
        <f>IFERROR(AVERAGEIFS('가격 Raw(지역)'!$B$4:$B$916,'가격 Raw(지역)'!$A$4:$A$916,"&gt;="&amp;B18,'가격 Raw(지역)'!$A$4:$A$916,"&lt;="&amp;C18),"")</f>
        <v/>
      </c>
      <c r="E18" s="7">
        <f>COUNTIFS('가격 Raw(지역)'!$A$4:$A$916,"&gt;="&amp;B18,'가격 Raw(지역)'!$A$4:$A$916,"&lt;="&amp;C18)</f>
        <v/>
      </c>
      <c r="F18" s="10">
        <f>IF(OR(D18="",D17=""),"",(D18-D17)/D17*100)</f>
        <v/>
      </c>
      <c r="G18" s="10">
        <f>IF(OR(D18="",D6=""),"",(D18-D6)/D6*100)</f>
        <v/>
      </c>
      <c r="H18" s="9">
        <f>IF(I18&lt;10,"",AVERAGEIFS('가격 Raw(전국)'!$B$4:$B$542,'가격 Raw(전국)'!$A$4:$A$542,"&gt;="&amp;B18,'가격 Raw(전국)'!$A$4:$A$542,"&lt;="&amp;C18))</f>
        <v/>
      </c>
      <c r="I18" s="7">
        <f>COUNTIFS('가격 Raw(전국)'!$A$4:$A$542,"&gt;="&amp;B18,'가격 Raw(전국)'!$A$4:$A$542,"&lt;="&amp;C18)</f>
        <v/>
      </c>
      <c r="J18" s="7" t="n"/>
      <c r="K18" s="7" t="n"/>
      <c r="L18" s="7" t="n"/>
      <c r="N18" s="7" t="inlineStr">
        <is>
          <t>3월</t>
        </is>
      </c>
      <c r="O18" s="9">
        <f>D10</f>
        <v/>
      </c>
      <c r="P18" s="9">
        <f>D22</f>
        <v/>
      </c>
      <c r="Q18" s="9">
        <f>D34</f>
        <v/>
      </c>
      <c r="R18" s="9">
        <f>AVERAGE(O18:Q18)</f>
        <v/>
      </c>
    </row>
    <row r="19">
      <c r="A19" s="7" t="inlineStr">
        <is>
          <t>2024.12</t>
        </is>
      </c>
      <c r="B19" s="8" t="n">
        <v>45627</v>
      </c>
      <c r="C19" s="8">
        <f>EOMONTH(B19,0)</f>
        <v/>
      </c>
      <c r="D19" s="9">
        <f>IFERROR(AVERAGEIFS('가격 Raw(지역)'!$B$4:$B$916,'가격 Raw(지역)'!$A$4:$A$916,"&gt;="&amp;B19,'가격 Raw(지역)'!$A$4:$A$916,"&lt;="&amp;C19),"")</f>
        <v/>
      </c>
      <c r="E19" s="7">
        <f>COUNTIFS('가격 Raw(지역)'!$A$4:$A$916,"&gt;="&amp;B19,'가격 Raw(지역)'!$A$4:$A$916,"&lt;="&amp;C19)</f>
        <v/>
      </c>
      <c r="F19" s="10">
        <f>IF(OR(D19="",D18=""),"",(D19-D18)/D18*100)</f>
        <v/>
      </c>
      <c r="G19" s="10">
        <f>IF(OR(D19="",D7=""),"",(D19-D7)/D7*100)</f>
        <v/>
      </c>
      <c r="H19" s="9">
        <f>IF(I19&lt;10,"",AVERAGEIFS('가격 Raw(전국)'!$B$4:$B$542,'가격 Raw(전국)'!$A$4:$A$542,"&gt;="&amp;B19,'가격 Raw(전국)'!$A$4:$A$542,"&lt;="&amp;C19))</f>
        <v/>
      </c>
      <c r="I19" s="7">
        <f>COUNTIFS('가격 Raw(전국)'!$A$4:$A$542,"&gt;="&amp;B19,'가격 Raw(전국)'!$A$4:$A$542,"&lt;="&amp;C19)</f>
        <v/>
      </c>
      <c r="J19" s="7" t="n"/>
      <c r="K19" s="7" t="n"/>
      <c r="L19" s="7" t="n"/>
      <c r="N19" s="7" t="inlineStr">
        <is>
          <t>4월</t>
        </is>
      </c>
      <c r="O19" s="9">
        <f>D11</f>
        <v/>
      </c>
      <c r="P19" s="9">
        <f>D23</f>
        <v/>
      </c>
      <c r="Q19" s="9">
        <f>D35</f>
        <v/>
      </c>
      <c r="R19" s="9">
        <f>AVERAGE(O19:Q19)</f>
        <v/>
      </c>
    </row>
    <row r="20">
      <c r="A20" s="7" t="inlineStr">
        <is>
          <t>2025.01</t>
        </is>
      </c>
      <c r="B20" s="8" t="n">
        <v>45658</v>
      </c>
      <c r="C20" s="8">
        <f>EOMONTH(B20,0)</f>
        <v/>
      </c>
      <c r="D20" s="9">
        <f>IFERROR(AVERAGEIFS('가격 Raw(지역)'!$B$4:$B$916,'가격 Raw(지역)'!$A$4:$A$916,"&gt;="&amp;B20,'가격 Raw(지역)'!$A$4:$A$916,"&lt;="&amp;C20),"")</f>
        <v/>
      </c>
      <c r="E20" s="7">
        <f>COUNTIFS('가격 Raw(지역)'!$A$4:$A$916,"&gt;="&amp;B20,'가격 Raw(지역)'!$A$4:$A$916,"&lt;="&amp;C20)</f>
        <v/>
      </c>
      <c r="F20" s="10">
        <f>IF(OR(D20="",D19=""),"",(D20-D19)/D19*100)</f>
        <v/>
      </c>
      <c r="G20" s="10">
        <f>IF(OR(D20="",D8=""),"",(D20-D8)/D8*100)</f>
        <v/>
      </c>
      <c r="H20" s="9">
        <f>IF(I20&lt;10,"",AVERAGEIFS('가격 Raw(전국)'!$B$4:$B$542,'가격 Raw(전국)'!$A$4:$A$542,"&gt;="&amp;B20,'가격 Raw(전국)'!$A$4:$A$542,"&lt;="&amp;C20))</f>
        <v/>
      </c>
      <c r="I20" s="7">
        <f>COUNTIFS('가격 Raw(전국)'!$A$4:$A$542,"&gt;="&amp;B20,'가격 Raw(전국)'!$A$4:$A$542,"&lt;="&amp;C20)</f>
        <v/>
      </c>
      <c r="J20" s="7" t="n"/>
      <c r="K20" s="7" t="n"/>
      <c r="L20" s="7" t="n"/>
      <c r="N20" s="7" t="inlineStr">
        <is>
          <t>5월</t>
        </is>
      </c>
      <c r="O20" s="9">
        <f>D12</f>
        <v/>
      </c>
      <c r="P20" s="9">
        <f>D24</f>
        <v/>
      </c>
      <c r="Q20" s="9">
        <f>D36</f>
        <v/>
      </c>
      <c r="R20" s="9">
        <f>AVERAGE(O20:Q20)</f>
        <v/>
      </c>
    </row>
    <row r="21">
      <c r="A21" s="7" t="inlineStr">
        <is>
          <t>2025.02</t>
        </is>
      </c>
      <c r="B21" s="8" t="n">
        <v>45689</v>
      </c>
      <c r="C21" s="8">
        <f>EOMONTH(B21,0)</f>
        <v/>
      </c>
      <c r="D21" s="9">
        <f>IFERROR(AVERAGEIFS('가격 Raw(지역)'!$B$4:$B$916,'가격 Raw(지역)'!$A$4:$A$916,"&gt;="&amp;B21,'가격 Raw(지역)'!$A$4:$A$916,"&lt;="&amp;C21),"")</f>
        <v/>
      </c>
      <c r="E21" s="7">
        <f>COUNTIFS('가격 Raw(지역)'!$A$4:$A$916,"&gt;="&amp;B21,'가격 Raw(지역)'!$A$4:$A$916,"&lt;="&amp;C21)</f>
        <v/>
      </c>
      <c r="F21" s="10">
        <f>IF(OR(D21="",D20=""),"",(D21-D20)/D20*100)</f>
        <v/>
      </c>
      <c r="G21" s="10">
        <f>IF(OR(D21="",D9=""),"",(D21-D9)/D9*100)</f>
        <v/>
      </c>
      <c r="H21" s="9">
        <f>IF(I21&lt;10,"",AVERAGEIFS('가격 Raw(전국)'!$B$4:$B$542,'가격 Raw(전국)'!$A$4:$A$542,"&gt;="&amp;B21,'가격 Raw(전국)'!$A$4:$A$542,"&lt;="&amp;C21))</f>
        <v/>
      </c>
      <c r="I21" s="7">
        <f>COUNTIFS('가격 Raw(전국)'!$A$4:$A$542,"&gt;="&amp;B21,'가격 Raw(전국)'!$A$4:$A$542,"&lt;="&amp;C21)</f>
        <v/>
      </c>
      <c r="J21" s="7" t="n"/>
      <c r="K21" s="7" t="n"/>
      <c r="L21" s="7" t="n"/>
      <c r="N21" s="7" t="inlineStr">
        <is>
          <t>6월</t>
        </is>
      </c>
      <c r="O21" s="9">
        <f>D13</f>
        <v/>
      </c>
      <c r="P21" s="9">
        <f>D25</f>
        <v/>
      </c>
      <c r="Q21" s="9">
        <f>D37</f>
        <v/>
      </c>
      <c r="R21" s="9">
        <f>AVERAGE(O21:Q21)</f>
        <v/>
      </c>
    </row>
    <row r="22">
      <c r="A22" s="7" t="inlineStr">
        <is>
          <t>2025.03</t>
        </is>
      </c>
      <c r="B22" s="8" t="n">
        <v>45717</v>
      </c>
      <c r="C22" s="8">
        <f>EOMONTH(B22,0)</f>
        <v/>
      </c>
      <c r="D22" s="9">
        <f>IFERROR(AVERAGEIFS('가격 Raw(지역)'!$B$4:$B$916,'가격 Raw(지역)'!$A$4:$A$916,"&gt;="&amp;B22,'가격 Raw(지역)'!$A$4:$A$916,"&lt;="&amp;C22),"")</f>
        <v/>
      </c>
      <c r="E22" s="7">
        <f>COUNTIFS('가격 Raw(지역)'!$A$4:$A$916,"&gt;="&amp;B22,'가격 Raw(지역)'!$A$4:$A$916,"&lt;="&amp;C22)</f>
        <v/>
      </c>
      <c r="F22" s="10">
        <f>IF(OR(D22="",D21=""),"",(D22-D21)/D21*100)</f>
        <v/>
      </c>
      <c r="G22" s="10">
        <f>IF(OR(D22="",D10=""),"",(D22-D10)/D10*100)</f>
        <v/>
      </c>
      <c r="H22" s="9">
        <f>IF(I22&lt;10,"",AVERAGEIFS('가격 Raw(전국)'!$B$4:$B$542,'가격 Raw(전국)'!$A$4:$A$542,"&gt;="&amp;B22,'가격 Raw(전국)'!$A$4:$A$542,"&lt;="&amp;C22))</f>
        <v/>
      </c>
      <c r="I22" s="7">
        <f>COUNTIFS('가격 Raw(전국)'!$A$4:$A$542,"&gt;="&amp;B22,'가격 Raw(전국)'!$A$4:$A$542,"&lt;="&amp;C22)</f>
        <v/>
      </c>
      <c r="J22" s="7" t="n"/>
      <c r="K22" s="7" t="n"/>
      <c r="L22" s="7" t="n"/>
      <c r="N22" s="7" t="inlineStr">
        <is>
          <t>7월</t>
        </is>
      </c>
      <c r="O22" s="9">
        <f>D14</f>
        <v/>
      </c>
      <c r="P22" s="9">
        <f>D26</f>
        <v/>
      </c>
      <c r="Q22" s="9">
        <f>D38</f>
        <v/>
      </c>
      <c r="R22" s="9">
        <f>AVERAGE(O22:Q22)</f>
        <v/>
      </c>
    </row>
    <row r="23">
      <c r="A23" s="7" t="inlineStr">
        <is>
          <t>2025.04</t>
        </is>
      </c>
      <c r="B23" s="8" t="n">
        <v>45748</v>
      </c>
      <c r="C23" s="8">
        <f>EOMONTH(B23,0)</f>
        <v/>
      </c>
      <c r="D23" s="9">
        <f>IFERROR(AVERAGEIFS('가격 Raw(지역)'!$B$4:$B$916,'가격 Raw(지역)'!$A$4:$A$916,"&gt;="&amp;B23,'가격 Raw(지역)'!$A$4:$A$916,"&lt;="&amp;C23),"")</f>
        <v/>
      </c>
      <c r="E23" s="7">
        <f>COUNTIFS('가격 Raw(지역)'!$A$4:$A$916,"&gt;="&amp;B23,'가격 Raw(지역)'!$A$4:$A$916,"&lt;="&amp;C23)</f>
        <v/>
      </c>
      <c r="F23" s="10">
        <f>IF(OR(D23="",D22=""),"",(D23-D22)/D22*100)</f>
        <v/>
      </c>
      <c r="G23" s="10">
        <f>IF(OR(D23="",D11=""),"",(D23-D11)/D11*100)</f>
        <v/>
      </c>
      <c r="H23" s="9">
        <f>IF(I23&lt;10,"",AVERAGEIFS('가격 Raw(전국)'!$B$4:$B$542,'가격 Raw(전국)'!$A$4:$A$542,"&gt;="&amp;B23,'가격 Raw(전국)'!$A$4:$A$542,"&lt;="&amp;C23))</f>
        <v/>
      </c>
      <c r="I23" s="7">
        <f>COUNTIFS('가격 Raw(전국)'!$A$4:$A$542,"&gt;="&amp;B23,'가격 Raw(전국)'!$A$4:$A$542,"&lt;="&amp;C23)</f>
        <v/>
      </c>
      <c r="J23" s="7" t="n"/>
      <c r="K23" s="7" t="n"/>
      <c r="L23" s="7" t="n"/>
      <c r="N23" s="7" t="inlineStr">
        <is>
          <t>8월</t>
        </is>
      </c>
      <c r="O23" s="9">
        <f>D15</f>
        <v/>
      </c>
      <c r="P23" s="9">
        <f>D27</f>
        <v/>
      </c>
      <c r="Q23" s="9">
        <f>D39</f>
        <v/>
      </c>
      <c r="R23" s="9">
        <f>AVERAGE(O23:Q23)</f>
        <v/>
      </c>
    </row>
    <row r="24">
      <c r="A24" s="7" t="inlineStr">
        <is>
          <t>2025.05</t>
        </is>
      </c>
      <c r="B24" s="8" t="n">
        <v>45778</v>
      </c>
      <c r="C24" s="8">
        <f>EOMONTH(B24,0)</f>
        <v/>
      </c>
      <c r="D24" s="9">
        <f>IFERROR(AVERAGEIFS('가격 Raw(지역)'!$B$4:$B$916,'가격 Raw(지역)'!$A$4:$A$916,"&gt;="&amp;B24,'가격 Raw(지역)'!$A$4:$A$916,"&lt;="&amp;C24),"")</f>
        <v/>
      </c>
      <c r="E24" s="7">
        <f>COUNTIFS('가격 Raw(지역)'!$A$4:$A$916,"&gt;="&amp;B24,'가격 Raw(지역)'!$A$4:$A$916,"&lt;="&amp;C24)</f>
        <v/>
      </c>
      <c r="F24" s="10">
        <f>IF(OR(D24="",D23=""),"",(D24-D23)/D23*100)</f>
        <v/>
      </c>
      <c r="G24" s="10">
        <f>IF(OR(D24="",D12=""),"",(D24-D12)/D12*100)</f>
        <v/>
      </c>
      <c r="H24" s="9">
        <f>IF(I24&lt;10,"",AVERAGEIFS('가격 Raw(전국)'!$B$4:$B$542,'가격 Raw(전국)'!$A$4:$A$542,"&gt;="&amp;B24,'가격 Raw(전국)'!$A$4:$A$542,"&lt;="&amp;C24))</f>
        <v/>
      </c>
      <c r="I24" s="7">
        <f>COUNTIFS('가격 Raw(전국)'!$A$4:$A$542,"&gt;="&amp;B24,'가격 Raw(전국)'!$A$4:$A$542,"&lt;="&amp;C24)</f>
        <v/>
      </c>
      <c r="J24" s="7" t="n"/>
      <c r="K24" s="7" t="n"/>
      <c r="L24" s="7" t="n"/>
      <c r="N24" s="7" t="inlineStr">
        <is>
          <t>9월</t>
        </is>
      </c>
      <c r="O24" s="9">
        <f>D16</f>
        <v/>
      </c>
      <c r="P24" s="9">
        <f>D28</f>
        <v/>
      </c>
      <c r="Q24" s="9">
        <f>D40</f>
        <v/>
      </c>
      <c r="R24" s="9">
        <f>AVERAGE(O24:Q24)</f>
        <v/>
      </c>
    </row>
    <row r="25">
      <c r="A25" s="7" t="inlineStr">
        <is>
          <t>2025.06</t>
        </is>
      </c>
      <c r="B25" s="8" t="n">
        <v>45809</v>
      </c>
      <c r="C25" s="8">
        <f>EOMONTH(B25,0)</f>
        <v/>
      </c>
      <c r="D25" s="9">
        <f>IFERROR(AVERAGEIFS('가격 Raw(지역)'!$B$4:$B$916,'가격 Raw(지역)'!$A$4:$A$916,"&gt;="&amp;B25,'가격 Raw(지역)'!$A$4:$A$916,"&lt;="&amp;C25),"")</f>
        <v/>
      </c>
      <c r="E25" s="7">
        <f>COUNTIFS('가격 Raw(지역)'!$A$4:$A$916,"&gt;="&amp;B25,'가격 Raw(지역)'!$A$4:$A$916,"&lt;="&amp;C25)</f>
        <v/>
      </c>
      <c r="F25" s="10">
        <f>IF(OR(D25="",D24=""),"",(D25-D24)/D24*100)</f>
        <v/>
      </c>
      <c r="G25" s="10">
        <f>IF(OR(D25="",D13=""),"",(D25-D13)/D13*100)</f>
        <v/>
      </c>
      <c r="H25" s="9">
        <f>IF(I25&lt;10,"",AVERAGEIFS('가격 Raw(전국)'!$B$4:$B$542,'가격 Raw(전국)'!$A$4:$A$542,"&gt;="&amp;B25,'가격 Raw(전국)'!$A$4:$A$542,"&lt;="&amp;C25))</f>
        <v/>
      </c>
      <c r="I25" s="7">
        <f>COUNTIFS('가격 Raw(전국)'!$A$4:$A$542,"&gt;="&amp;B25,'가격 Raw(전국)'!$A$4:$A$542,"&lt;="&amp;C25)</f>
        <v/>
      </c>
      <c r="J25" s="7" t="n"/>
      <c r="K25" s="7" t="n"/>
      <c r="L25" s="7" t="n"/>
    </row>
    <row r="26">
      <c r="A26" s="7" t="inlineStr">
        <is>
          <t>2025.07</t>
        </is>
      </c>
      <c r="B26" s="8" t="n">
        <v>45839</v>
      </c>
      <c r="C26" s="8">
        <f>EOMONTH(B26,0)</f>
        <v/>
      </c>
      <c r="D26" s="9">
        <f>IFERROR(AVERAGEIFS('가격 Raw(지역)'!$B$4:$B$916,'가격 Raw(지역)'!$A$4:$A$916,"&gt;="&amp;B26,'가격 Raw(지역)'!$A$4:$A$916,"&lt;="&amp;C26),"")</f>
        <v/>
      </c>
      <c r="E26" s="7">
        <f>COUNTIFS('가격 Raw(지역)'!$A$4:$A$916,"&gt;="&amp;B26,'가격 Raw(지역)'!$A$4:$A$916,"&lt;="&amp;C26)</f>
        <v/>
      </c>
      <c r="F26" s="10">
        <f>IF(OR(D26="",D25=""),"",(D26-D25)/D25*100)</f>
        <v/>
      </c>
      <c r="G26" s="10">
        <f>IF(OR(D26="",D14=""),"",(D26-D14)/D14*100)</f>
        <v/>
      </c>
      <c r="H26" s="9">
        <f>IF(I26&lt;10,"",AVERAGEIFS('가격 Raw(전국)'!$B$4:$B$542,'가격 Raw(전국)'!$A$4:$A$542,"&gt;="&amp;B26,'가격 Raw(전국)'!$A$4:$A$542,"&lt;="&amp;C26))</f>
        <v/>
      </c>
      <c r="I26" s="7">
        <f>COUNTIFS('가격 Raw(전국)'!$A$4:$A$542,"&gt;="&amp;B26,'가격 Raw(전국)'!$A$4:$A$542,"&lt;="&amp;C26)</f>
        <v/>
      </c>
      <c r="J26" s="7" t="n"/>
      <c r="K26" s="7" t="n"/>
      <c r="L26" s="7" t="n"/>
      <c r="N26" s="1" t="inlineStr">
        <is>
          <t>표 3. 가격과 기상의 상관계수(피어슨 r) – 기상 자료 입력 후 계산</t>
        </is>
      </c>
    </row>
    <row r="27">
      <c r="A27" s="7" t="inlineStr">
        <is>
          <t>2025.08</t>
        </is>
      </c>
      <c r="B27" s="8" t="n">
        <v>45870</v>
      </c>
      <c r="C27" s="8">
        <f>EOMONTH(B27,0)</f>
        <v/>
      </c>
      <c r="D27" s="9">
        <f>IFERROR(AVERAGEIFS('가격 Raw(지역)'!$B$4:$B$916,'가격 Raw(지역)'!$A$4:$A$916,"&gt;="&amp;B27,'가격 Raw(지역)'!$A$4:$A$916,"&lt;="&amp;C27),"")</f>
        <v/>
      </c>
      <c r="E27" s="7">
        <f>COUNTIFS('가격 Raw(지역)'!$A$4:$A$916,"&gt;="&amp;B27,'가격 Raw(지역)'!$A$4:$A$916,"&lt;="&amp;C27)</f>
        <v/>
      </c>
      <c r="F27" s="10">
        <f>IF(OR(D27="",D26=""),"",(D27-D26)/D26*100)</f>
        <v/>
      </c>
      <c r="G27" s="10">
        <f>IF(OR(D27="",D15=""),"",(D27-D15)/D15*100)</f>
        <v/>
      </c>
      <c r="H27" s="9">
        <f>IF(I27&lt;10,"",AVERAGEIFS('가격 Raw(전국)'!$B$4:$B$542,'가격 Raw(전국)'!$A$4:$A$542,"&gt;="&amp;B27,'가격 Raw(전국)'!$A$4:$A$542,"&lt;="&amp;C27))</f>
        <v/>
      </c>
      <c r="I27" s="7">
        <f>COUNTIFS('가격 Raw(전국)'!$A$4:$A$542,"&gt;="&amp;B27,'가격 Raw(전국)'!$A$4:$A$542,"&lt;="&amp;C27)</f>
        <v/>
      </c>
      <c r="J27" s="7" t="n"/>
      <c r="K27" s="7" t="n"/>
      <c r="L27" s="7" t="n"/>
      <c r="N27" s="6" t="inlineStr">
        <is>
          <t>기상 요소</t>
        </is>
      </c>
      <c r="O27" s="6" t="inlineStr">
        <is>
          <t>같은 달</t>
        </is>
      </c>
      <c r="P27" s="6" t="inlineStr">
        <is>
          <t>1개월 전 기상</t>
        </is>
      </c>
      <c r="Q27" s="6" t="inlineStr">
        <is>
          <t>2개월 전 기상</t>
        </is>
      </c>
    </row>
    <row r="28">
      <c r="A28" s="7" t="inlineStr">
        <is>
          <t>2025.09</t>
        </is>
      </c>
      <c r="B28" s="8" t="n">
        <v>45901</v>
      </c>
      <c r="C28" s="8">
        <f>EOMONTH(B28,0)</f>
        <v/>
      </c>
      <c r="D28" s="9">
        <f>IFERROR(AVERAGEIFS('가격 Raw(지역)'!$B$4:$B$916,'가격 Raw(지역)'!$A$4:$A$916,"&gt;="&amp;B28,'가격 Raw(지역)'!$A$4:$A$916,"&lt;="&amp;C28),"")</f>
        <v/>
      </c>
      <c r="E28" s="7">
        <f>COUNTIFS('가격 Raw(지역)'!$A$4:$A$916,"&gt;="&amp;B28,'가격 Raw(지역)'!$A$4:$A$916,"&lt;="&amp;C28)</f>
        <v/>
      </c>
      <c r="F28" s="10">
        <f>IF(OR(D28="",D27=""),"",(D28-D27)/D27*100)</f>
        <v/>
      </c>
      <c r="G28" s="10">
        <f>IF(OR(D28="",D16=""),"",(D28-D16)/D16*100)</f>
        <v/>
      </c>
      <c r="H28" s="9">
        <f>IF(I28&lt;10,"",AVERAGEIFS('가격 Raw(전국)'!$B$4:$B$542,'가격 Raw(전국)'!$A$4:$A$542,"&gt;="&amp;B28,'가격 Raw(전국)'!$A$4:$A$542,"&lt;="&amp;C28))</f>
        <v/>
      </c>
      <c r="I28" s="7">
        <f>COUNTIFS('가격 Raw(전국)'!$A$4:$A$542,"&gt;="&amp;B28,'가격 Raw(전국)'!$A$4:$A$542,"&lt;="&amp;C28)</f>
        <v/>
      </c>
      <c r="J28" s="7" t="n"/>
      <c r="K28" s="7" t="n"/>
      <c r="L28" s="7" t="n"/>
      <c r="N28" s="11" t="inlineStr">
        <is>
          <t>월평균기온</t>
        </is>
      </c>
      <c r="O28" s="12">
        <f>IFERROR(CORREL(D5:D40,J5:J40),"")</f>
        <v/>
      </c>
      <c r="P28" s="12">
        <f>IFERROR(CORREL(D6:D40,J5:J39),"")</f>
        <v/>
      </c>
      <c r="Q28" s="12">
        <f>IFERROR(CORREL(D7:D40,J5:J38),"")</f>
        <v/>
      </c>
    </row>
    <row r="29">
      <c r="A29" s="7" t="inlineStr">
        <is>
          <t>2025.10</t>
        </is>
      </c>
      <c r="B29" s="8" t="n">
        <v>45931</v>
      </c>
      <c r="C29" s="8">
        <f>EOMONTH(B29,0)</f>
        <v/>
      </c>
      <c r="D29" s="9">
        <f>IFERROR(AVERAGEIFS('가격 Raw(지역)'!$B$4:$B$916,'가격 Raw(지역)'!$A$4:$A$916,"&gt;="&amp;B29,'가격 Raw(지역)'!$A$4:$A$916,"&lt;="&amp;C29),"")</f>
        <v/>
      </c>
      <c r="E29" s="7">
        <f>COUNTIFS('가격 Raw(지역)'!$A$4:$A$916,"&gt;="&amp;B29,'가격 Raw(지역)'!$A$4:$A$916,"&lt;="&amp;C29)</f>
        <v/>
      </c>
      <c r="F29" s="10">
        <f>IF(OR(D29="",D28=""),"",(D29-D28)/D28*100)</f>
        <v/>
      </c>
      <c r="G29" s="10">
        <f>IF(OR(D29="",D17=""),"",(D29-D17)/D17*100)</f>
        <v/>
      </c>
      <c r="H29" s="9">
        <f>IF(I29&lt;10,"",AVERAGEIFS('가격 Raw(전국)'!$B$4:$B$542,'가격 Raw(전국)'!$A$4:$A$542,"&gt;="&amp;B29,'가격 Raw(전국)'!$A$4:$A$542,"&lt;="&amp;C29))</f>
        <v/>
      </c>
      <c r="I29" s="7">
        <f>COUNTIFS('가격 Raw(전국)'!$A$4:$A$542,"&gt;="&amp;B29,'가격 Raw(전국)'!$A$4:$A$542,"&lt;="&amp;C29)</f>
        <v/>
      </c>
      <c r="J29" s="7" t="n"/>
      <c r="K29" s="7" t="n"/>
      <c r="L29" s="7" t="n"/>
      <c r="N29" s="11" t="inlineStr">
        <is>
          <t>월강수량</t>
        </is>
      </c>
      <c r="O29" s="12">
        <f>IFERROR(CORREL(D5:D40,K5:K40),"")</f>
        <v/>
      </c>
      <c r="P29" s="12">
        <f>IFERROR(CORREL(D6:D40,K5:K39),"")</f>
        <v/>
      </c>
      <c r="Q29" s="12">
        <f>IFERROR(CORREL(D7:D40,K5:K38),"")</f>
        <v/>
      </c>
    </row>
    <row r="30">
      <c r="A30" s="7" t="inlineStr">
        <is>
          <t>2025.11</t>
        </is>
      </c>
      <c r="B30" s="8" t="n">
        <v>45962</v>
      </c>
      <c r="C30" s="8">
        <f>EOMONTH(B30,0)</f>
        <v/>
      </c>
      <c r="D30" s="9">
        <f>IFERROR(AVERAGEIFS('가격 Raw(지역)'!$B$4:$B$916,'가격 Raw(지역)'!$A$4:$A$916,"&gt;="&amp;B30,'가격 Raw(지역)'!$A$4:$A$916,"&lt;="&amp;C30),"")</f>
        <v/>
      </c>
      <c r="E30" s="7">
        <f>COUNTIFS('가격 Raw(지역)'!$A$4:$A$916,"&gt;="&amp;B30,'가격 Raw(지역)'!$A$4:$A$916,"&lt;="&amp;C30)</f>
        <v/>
      </c>
      <c r="F30" s="10">
        <f>IF(OR(D30="",D29=""),"",(D30-D29)/D29*100)</f>
        <v/>
      </c>
      <c r="G30" s="10">
        <f>IF(OR(D30="",D18=""),"",(D30-D18)/D18*100)</f>
        <v/>
      </c>
      <c r="H30" s="9">
        <f>IF(I30&lt;10,"",AVERAGEIFS('가격 Raw(전국)'!$B$4:$B$542,'가격 Raw(전국)'!$A$4:$A$542,"&gt;="&amp;B30,'가격 Raw(전국)'!$A$4:$A$542,"&lt;="&amp;C30))</f>
        <v/>
      </c>
      <c r="I30" s="7">
        <f>COUNTIFS('가격 Raw(전국)'!$A$4:$A$542,"&gt;="&amp;B30,'가격 Raw(전국)'!$A$4:$A$542,"&lt;="&amp;C30)</f>
        <v/>
      </c>
      <c r="J30" s="7" t="n"/>
      <c r="K30" s="7" t="n"/>
      <c r="L30" s="7" t="n"/>
      <c r="N30" s="11" t="inlineStr">
        <is>
          <t>월일조시간</t>
        </is>
      </c>
      <c r="O30" s="12">
        <f>IFERROR(CORREL(D5:D40,L5:L40),"")</f>
        <v/>
      </c>
      <c r="P30" s="12">
        <f>IFERROR(CORREL(D6:D40,L5:L39),"")</f>
        <v/>
      </c>
      <c r="Q30" s="12">
        <f>IFERROR(CORREL(D7:D40,L5:L38),"")</f>
        <v/>
      </c>
    </row>
    <row r="31">
      <c r="A31" s="7" t="inlineStr">
        <is>
          <t>2025.12</t>
        </is>
      </c>
      <c r="B31" s="8" t="n">
        <v>45992</v>
      </c>
      <c r="C31" s="8">
        <f>EOMONTH(B31,0)</f>
        <v/>
      </c>
      <c r="D31" s="9">
        <f>IFERROR(AVERAGEIFS('가격 Raw(지역)'!$B$4:$B$916,'가격 Raw(지역)'!$A$4:$A$916,"&gt;="&amp;B31,'가격 Raw(지역)'!$A$4:$A$916,"&lt;="&amp;C31),"")</f>
        <v/>
      </c>
      <c r="E31" s="7">
        <f>COUNTIFS('가격 Raw(지역)'!$A$4:$A$916,"&gt;="&amp;B31,'가격 Raw(지역)'!$A$4:$A$916,"&lt;="&amp;C31)</f>
        <v/>
      </c>
      <c r="F31" s="10">
        <f>IF(OR(D31="",D30=""),"",(D31-D30)/D30*100)</f>
        <v/>
      </c>
      <c r="G31" s="10">
        <f>IF(OR(D31="",D19=""),"",(D31-D19)/D19*100)</f>
        <v/>
      </c>
      <c r="H31" s="9">
        <f>IF(I31&lt;10,"",AVERAGEIFS('가격 Raw(전국)'!$B$4:$B$542,'가격 Raw(전국)'!$A$4:$A$542,"&gt;="&amp;B31,'가격 Raw(전국)'!$A$4:$A$542,"&lt;="&amp;C31))</f>
        <v/>
      </c>
      <c r="I31" s="7">
        <f>COUNTIFS('가격 Raw(전국)'!$A$4:$A$542,"&gt;="&amp;B31,'가격 Raw(전국)'!$A$4:$A$542,"&lt;="&amp;C31)</f>
        <v/>
      </c>
      <c r="J31" s="7" t="n"/>
      <c r="K31" s="7" t="n"/>
      <c r="L31" s="7" t="n"/>
    </row>
    <row r="32">
      <c r="A32" s="7" t="inlineStr">
        <is>
          <t>2026.01</t>
        </is>
      </c>
      <c r="B32" s="8" t="n">
        <v>46023</v>
      </c>
      <c r="C32" s="8">
        <f>EOMONTH(B32,0)</f>
        <v/>
      </c>
      <c r="D32" s="9">
        <f>IFERROR(AVERAGEIFS('가격 Raw(지역)'!$B$4:$B$916,'가격 Raw(지역)'!$A$4:$A$916,"&gt;="&amp;B32,'가격 Raw(지역)'!$A$4:$A$916,"&lt;="&amp;C32),"")</f>
        <v/>
      </c>
      <c r="E32" s="7">
        <f>COUNTIFS('가격 Raw(지역)'!$A$4:$A$916,"&gt;="&amp;B32,'가격 Raw(지역)'!$A$4:$A$916,"&lt;="&amp;C32)</f>
        <v/>
      </c>
      <c r="F32" s="10">
        <f>IF(OR(D32="",D31=""),"",(D32-D31)/D31*100)</f>
        <v/>
      </c>
      <c r="G32" s="10">
        <f>IF(OR(D32="",D20=""),"",(D32-D20)/D20*100)</f>
        <v/>
      </c>
      <c r="H32" s="9">
        <f>IF(I32&lt;10,"",AVERAGEIFS('가격 Raw(전국)'!$B$4:$B$542,'가격 Raw(전국)'!$A$4:$A$542,"&gt;="&amp;B32,'가격 Raw(전국)'!$A$4:$A$542,"&lt;="&amp;C32))</f>
        <v/>
      </c>
      <c r="I32" s="7">
        <f>COUNTIFS('가격 Raw(전국)'!$A$4:$A$542,"&gt;="&amp;B32,'가격 Raw(전국)'!$A$4:$A$542,"&lt;="&amp;C32)</f>
        <v/>
      </c>
      <c r="J32" s="7" t="n"/>
      <c r="K32" s="7" t="n"/>
      <c r="L32" s="7" t="n"/>
    </row>
    <row r="33">
      <c r="A33" s="7" t="inlineStr">
        <is>
          <t>2026.02</t>
        </is>
      </c>
      <c r="B33" s="8" t="n">
        <v>46054</v>
      </c>
      <c r="C33" s="8">
        <f>EOMONTH(B33,0)</f>
        <v/>
      </c>
      <c r="D33" s="9">
        <f>IFERROR(AVERAGEIFS('가격 Raw(지역)'!$B$4:$B$916,'가격 Raw(지역)'!$A$4:$A$916,"&gt;="&amp;B33,'가격 Raw(지역)'!$A$4:$A$916,"&lt;="&amp;C33),"")</f>
        <v/>
      </c>
      <c r="E33" s="7">
        <f>COUNTIFS('가격 Raw(지역)'!$A$4:$A$916,"&gt;="&amp;B33,'가격 Raw(지역)'!$A$4:$A$916,"&lt;="&amp;C33)</f>
        <v/>
      </c>
      <c r="F33" s="10">
        <f>IF(OR(D33="",D32=""),"",(D33-D32)/D32*100)</f>
        <v/>
      </c>
      <c r="G33" s="10">
        <f>IF(OR(D33="",D21=""),"",(D33-D21)/D21*100)</f>
        <v/>
      </c>
      <c r="H33" s="9">
        <f>IF(I33&lt;10,"",AVERAGEIFS('가격 Raw(전국)'!$B$4:$B$542,'가격 Raw(전국)'!$A$4:$A$542,"&gt;="&amp;B33,'가격 Raw(전국)'!$A$4:$A$542,"&lt;="&amp;C33))</f>
        <v/>
      </c>
      <c r="I33" s="7">
        <f>COUNTIFS('가격 Raw(전국)'!$A$4:$A$542,"&gt;="&amp;B33,'가격 Raw(전국)'!$A$4:$A$542,"&lt;="&amp;C33)</f>
        <v/>
      </c>
      <c r="J33" s="7" t="n"/>
      <c r="K33" s="7" t="n"/>
      <c r="L33" s="7" t="n"/>
    </row>
    <row r="34">
      <c r="A34" s="7" t="inlineStr">
        <is>
          <t>2026.03</t>
        </is>
      </c>
      <c r="B34" s="8" t="n">
        <v>46082</v>
      </c>
      <c r="C34" s="8">
        <f>EOMONTH(B34,0)</f>
        <v/>
      </c>
      <c r="D34" s="9">
        <f>IFERROR(AVERAGEIFS('가격 Raw(지역)'!$B$4:$B$916,'가격 Raw(지역)'!$A$4:$A$916,"&gt;="&amp;B34,'가격 Raw(지역)'!$A$4:$A$916,"&lt;="&amp;C34),"")</f>
        <v/>
      </c>
      <c r="E34" s="7">
        <f>COUNTIFS('가격 Raw(지역)'!$A$4:$A$916,"&gt;="&amp;B34,'가격 Raw(지역)'!$A$4:$A$916,"&lt;="&amp;C34)</f>
        <v/>
      </c>
      <c r="F34" s="10">
        <f>IF(OR(D34="",D33=""),"",(D34-D33)/D33*100)</f>
        <v/>
      </c>
      <c r="G34" s="10">
        <f>IF(OR(D34="",D22=""),"",(D34-D22)/D22*100)</f>
        <v/>
      </c>
      <c r="H34" s="9">
        <f>IF(I34&lt;10,"",AVERAGEIFS('가격 Raw(전국)'!$B$4:$B$542,'가격 Raw(전국)'!$A$4:$A$542,"&gt;="&amp;B34,'가격 Raw(전국)'!$A$4:$A$542,"&lt;="&amp;C34))</f>
        <v/>
      </c>
      <c r="I34" s="7">
        <f>COUNTIFS('가격 Raw(전국)'!$A$4:$A$542,"&gt;="&amp;B34,'가격 Raw(전국)'!$A$4:$A$542,"&lt;="&amp;C34)</f>
        <v/>
      </c>
      <c r="J34" s="7" t="n"/>
      <c r="K34" s="7" t="n"/>
      <c r="L34" s="7" t="n"/>
    </row>
    <row r="35">
      <c r="A35" s="7" t="inlineStr">
        <is>
          <t>2026.04</t>
        </is>
      </c>
      <c r="B35" s="8" t="n">
        <v>46113</v>
      </c>
      <c r="C35" s="8">
        <f>EOMONTH(B35,0)</f>
        <v/>
      </c>
      <c r="D35" s="9">
        <f>IFERROR(AVERAGEIFS('가격 Raw(지역)'!$B$4:$B$916,'가격 Raw(지역)'!$A$4:$A$916,"&gt;="&amp;B35,'가격 Raw(지역)'!$A$4:$A$916,"&lt;="&amp;C35),"")</f>
        <v/>
      </c>
      <c r="E35" s="7">
        <f>COUNTIFS('가격 Raw(지역)'!$A$4:$A$916,"&gt;="&amp;B35,'가격 Raw(지역)'!$A$4:$A$916,"&lt;="&amp;C35)</f>
        <v/>
      </c>
      <c r="F35" s="10">
        <f>IF(OR(D35="",D34=""),"",(D35-D34)/D34*100)</f>
        <v/>
      </c>
      <c r="G35" s="10">
        <f>IF(OR(D35="",D23=""),"",(D35-D23)/D23*100)</f>
        <v/>
      </c>
      <c r="H35" s="9">
        <f>IF(I35&lt;10,"",AVERAGEIFS('가격 Raw(전국)'!$B$4:$B$542,'가격 Raw(전국)'!$A$4:$A$542,"&gt;="&amp;B35,'가격 Raw(전국)'!$A$4:$A$542,"&lt;="&amp;C35))</f>
        <v/>
      </c>
      <c r="I35" s="7">
        <f>COUNTIFS('가격 Raw(전국)'!$A$4:$A$542,"&gt;="&amp;B35,'가격 Raw(전국)'!$A$4:$A$542,"&lt;="&amp;C35)</f>
        <v/>
      </c>
      <c r="J35" s="7" t="n"/>
      <c r="K35" s="7" t="n"/>
      <c r="L35" s="7" t="n"/>
    </row>
    <row r="36">
      <c r="A36" s="7" t="inlineStr">
        <is>
          <t>2026.05</t>
        </is>
      </c>
      <c r="B36" s="8" t="n">
        <v>46143</v>
      </c>
      <c r="C36" s="8">
        <f>EOMONTH(B36,0)</f>
        <v/>
      </c>
      <c r="D36" s="9">
        <f>IFERROR(AVERAGEIFS('가격 Raw(지역)'!$B$4:$B$916,'가격 Raw(지역)'!$A$4:$A$916,"&gt;="&amp;B36,'가격 Raw(지역)'!$A$4:$A$916,"&lt;="&amp;C36),"")</f>
        <v/>
      </c>
      <c r="E36" s="7">
        <f>COUNTIFS('가격 Raw(지역)'!$A$4:$A$916,"&gt;="&amp;B36,'가격 Raw(지역)'!$A$4:$A$916,"&lt;="&amp;C36)</f>
        <v/>
      </c>
      <c r="F36" s="10">
        <f>IF(OR(D36="",D35=""),"",(D36-D35)/D35*100)</f>
        <v/>
      </c>
      <c r="G36" s="10">
        <f>IF(OR(D36="",D24=""),"",(D36-D24)/D24*100)</f>
        <v/>
      </c>
      <c r="H36" s="9">
        <f>IF(I36&lt;10,"",AVERAGEIFS('가격 Raw(전국)'!$B$4:$B$542,'가격 Raw(전국)'!$A$4:$A$542,"&gt;="&amp;B36,'가격 Raw(전국)'!$A$4:$A$542,"&lt;="&amp;C36))</f>
        <v/>
      </c>
      <c r="I36" s="7">
        <f>COUNTIFS('가격 Raw(전국)'!$A$4:$A$542,"&gt;="&amp;B36,'가격 Raw(전국)'!$A$4:$A$542,"&lt;="&amp;C36)</f>
        <v/>
      </c>
      <c r="J36" s="7" t="n"/>
      <c r="K36" s="7" t="n"/>
      <c r="L36" s="7" t="n"/>
    </row>
    <row r="37">
      <c r="A37" s="7" t="inlineStr">
        <is>
          <t>2026.06</t>
        </is>
      </c>
      <c r="B37" s="8" t="n">
        <v>46174</v>
      </c>
      <c r="C37" s="8">
        <f>EOMONTH(B37,0)</f>
        <v/>
      </c>
      <c r="D37" s="9">
        <f>IFERROR(AVERAGEIFS('가격 Raw(지역)'!$B$4:$B$916,'가격 Raw(지역)'!$A$4:$A$916,"&gt;="&amp;B37,'가격 Raw(지역)'!$A$4:$A$916,"&lt;="&amp;C37),"")</f>
        <v/>
      </c>
      <c r="E37" s="7">
        <f>COUNTIFS('가격 Raw(지역)'!$A$4:$A$916,"&gt;="&amp;B37,'가격 Raw(지역)'!$A$4:$A$916,"&lt;="&amp;C37)</f>
        <v/>
      </c>
      <c r="F37" s="10">
        <f>IF(OR(D37="",D36=""),"",(D37-D36)/D36*100)</f>
        <v/>
      </c>
      <c r="G37" s="10">
        <f>IF(OR(D37="",D25=""),"",(D37-D25)/D25*100)</f>
        <v/>
      </c>
      <c r="H37" s="9">
        <f>IF(I37&lt;10,"",AVERAGEIFS('가격 Raw(전국)'!$B$4:$B$542,'가격 Raw(전국)'!$A$4:$A$542,"&gt;="&amp;B37,'가격 Raw(전국)'!$A$4:$A$542,"&lt;="&amp;C37))</f>
        <v/>
      </c>
      <c r="I37" s="7">
        <f>COUNTIFS('가격 Raw(전국)'!$A$4:$A$542,"&gt;="&amp;B37,'가격 Raw(전국)'!$A$4:$A$542,"&lt;="&amp;C37)</f>
        <v/>
      </c>
      <c r="J37" s="7" t="n"/>
      <c r="K37" s="7" t="n"/>
      <c r="L37" s="7" t="n"/>
    </row>
    <row r="38">
      <c r="A38" s="7" t="inlineStr">
        <is>
          <t>2026.07</t>
        </is>
      </c>
      <c r="B38" s="8" t="n">
        <v>46204</v>
      </c>
      <c r="C38" s="8">
        <f>EOMONTH(B38,0)</f>
        <v/>
      </c>
      <c r="D38" s="9">
        <f>IFERROR(AVERAGEIFS('가격 Raw(지역)'!$B$4:$B$916,'가격 Raw(지역)'!$A$4:$A$916,"&gt;="&amp;B38,'가격 Raw(지역)'!$A$4:$A$916,"&lt;="&amp;C38),"")</f>
        <v/>
      </c>
      <c r="E38" s="7">
        <f>COUNTIFS('가격 Raw(지역)'!$A$4:$A$916,"&gt;="&amp;B38,'가격 Raw(지역)'!$A$4:$A$916,"&lt;="&amp;C38)</f>
        <v/>
      </c>
      <c r="F38" s="10">
        <f>IF(OR(D38="",D37=""),"",(D38-D37)/D37*100)</f>
        <v/>
      </c>
      <c r="G38" s="10">
        <f>IF(OR(D38="",D26=""),"",(D38-D26)/D26*100)</f>
        <v/>
      </c>
      <c r="H38" s="9">
        <f>IF(I38&lt;10,"",AVERAGEIFS('가격 Raw(전국)'!$B$4:$B$542,'가격 Raw(전국)'!$A$4:$A$542,"&gt;="&amp;B38,'가격 Raw(전국)'!$A$4:$A$542,"&lt;="&amp;C38))</f>
        <v/>
      </c>
      <c r="I38" s="7">
        <f>COUNTIFS('가격 Raw(전국)'!$A$4:$A$542,"&gt;="&amp;B38,'가격 Raw(전국)'!$A$4:$A$542,"&lt;="&amp;C38)</f>
        <v/>
      </c>
      <c r="J38" s="7" t="n"/>
      <c r="K38" s="7" t="n"/>
      <c r="L38" s="7" t="n"/>
    </row>
    <row r="39">
      <c r="A39" s="7" t="inlineStr">
        <is>
          <t>2026.08</t>
        </is>
      </c>
      <c r="B39" s="8" t="n">
        <v>46235</v>
      </c>
      <c r="C39" s="8">
        <f>EOMONTH(B39,0)</f>
        <v/>
      </c>
      <c r="D39" s="9">
        <f>IFERROR(AVERAGEIFS('가격 Raw(지역)'!$B$4:$B$916,'가격 Raw(지역)'!$A$4:$A$916,"&gt;="&amp;B39,'가격 Raw(지역)'!$A$4:$A$916,"&lt;="&amp;C39),"")</f>
        <v/>
      </c>
      <c r="E39" s="7">
        <f>COUNTIFS('가격 Raw(지역)'!$A$4:$A$916,"&gt;="&amp;B39,'가격 Raw(지역)'!$A$4:$A$916,"&lt;="&amp;C39)</f>
        <v/>
      </c>
      <c r="F39" s="10">
        <f>IF(OR(D39="",D38=""),"",(D39-D38)/D38*100)</f>
        <v/>
      </c>
      <c r="G39" s="10">
        <f>IF(OR(D39="",D27=""),"",(D39-D27)/D27*100)</f>
        <v/>
      </c>
      <c r="H39" s="9">
        <f>IF(I39&lt;10,"",AVERAGEIFS('가격 Raw(전국)'!$B$4:$B$542,'가격 Raw(전국)'!$A$4:$A$542,"&gt;="&amp;B39,'가격 Raw(전국)'!$A$4:$A$542,"&lt;="&amp;C39))</f>
        <v/>
      </c>
      <c r="I39" s="7">
        <f>COUNTIFS('가격 Raw(전국)'!$A$4:$A$542,"&gt;="&amp;B39,'가격 Raw(전국)'!$A$4:$A$542,"&lt;="&amp;C39)</f>
        <v/>
      </c>
      <c r="J39" s="7" t="n"/>
      <c r="K39" s="7" t="n"/>
      <c r="L39" s="7" t="n"/>
    </row>
    <row r="40">
      <c r="A40" s="7" t="inlineStr">
        <is>
          <t>2026.09</t>
        </is>
      </c>
      <c r="B40" s="8" t="n">
        <v>46266</v>
      </c>
      <c r="C40" s="8">
        <f>EOMONTH(B40,0)</f>
        <v/>
      </c>
      <c r="D40" s="9">
        <f>IFERROR(AVERAGEIFS('가격 Raw(지역)'!$B$4:$B$916,'가격 Raw(지역)'!$A$4:$A$916,"&gt;="&amp;B40,'가격 Raw(지역)'!$A$4:$A$916,"&lt;="&amp;C40),"")</f>
        <v/>
      </c>
      <c r="E40" s="7">
        <f>COUNTIFS('가격 Raw(지역)'!$A$4:$A$916,"&gt;="&amp;B40,'가격 Raw(지역)'!$A$4:$A$916,"&lt;="&amp;C40)</f>
        <v/>
      </c>
      <c r="F40" s="10">
        <f>IF(OR(D40="",D39=""),"",(D40-D39)/D39*100)</f>
        <v/>
      </c>
      <c r="G40" s="10">
        <f>IF(OR(D40="",D28=""),"",(D40-D28)/D28*100)</f>
        <v/>
      </c>
      <c r="H40" s="9">
        <f>IF(I40&lt;10,"",AVERAGEIFS('가격 Raw(전국)'!$B$4:$B$542,'가격 Raw(전국)'!$A$4:$A$542,"&gt;="&amp;B40,'가격 Raw(전국)'!$A$4:$A$542,"&lt;="&amp;C40))</f>
        <v/>
      </c>
      <c r="I40" s="7">
        <f>COUNTIFS('가격 Raw(전국)'!$A$4:$A$542,"&gt;="&amp;B40,'가격 Raw(전국)'!$A$4:$A$542,"&lt;="&amp;C40)</f>
        <v/>
      </c>
      <c r="J40" s="7" t="n"/>
      <c r="K40" s="7" t="n"/>
      <c r="L40" s="7" t="n"/>
    </row>
    <row r="41">
      <c r="A41" t="inlineStr">
        <is>
          <t>※ 전국 월평균은 조사일수 10일 미만인 달은 비워 둠(자료 미확보 구간). 2025.09 지역 자료는 9월 2~10일 미수집으로 15일 평균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2026-10-10T16:03:55Z</dcterms:created>
  <dcterms:modified xmlns:dcterms="http://purl.org/dc/terms/" xmlns:xsi="http://www.w3.org/2001/XMLSchema-instance" xsi:type="dcterms:W3CDTF">2026-10-10T16:03:55Z</dcterms:modified>
</cp:coreProperties>
</file>